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프로그램\Sqm 재고관리\"/>
    </mc:Choice>
  </mc:AlternateContent>
  <xr:revisionPtr revIDLastSave="0" documentId="8_{538B0FCC-AF32-4D60-A1FD-3D42CB831810}" xr6:coauthVersionLast="47" xr6:coauthVersionMax="47" xr10:uidLastSave="{00000000-0000-0000-0000-000000000000}"/>
  <bookViews>
    <workbookView xWindow="-120" yWindow="-120" windowWidth="51840" windowHeight="21120" xr2:uid="{20E1FAFC-8956-45B2-8000-287017EE60F7}"/>
  </bookViews>
  <sheets>
    <sheet name="MIC9000 110MT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9" i="2" l="1"/>
  <c r="I59" i="2"/>
</calcChain>
</file>

<file path=xl/sharedStrings.xml><?xml version="1.0" encoding="utf-8"?>
<sst xmlns="http://schemas.openxmlformats.org/spreadsheetml/2006/main" count="146" uniqueCount="17">
  <si>
    <t>Product</t>
  </si>
  <si>
    <t>SAP NO</t>
  </si>
  <si>
    <t>합계 : Balance</t>
  </si>
  <si>
    <t>MIC9000</t>
  </si>
  <si>
    <t>MIC9000 Sample</t>
  </si>
  <si>
    <t>Date in stock</t>
  </si>
  <si>
    <t>SC RCVD</t>
  </si>
  <si>
    <t>Lot No</t>
  </si>
  <si>
    <t>WH</t>
  </si>
  <si>
    <t>SOLD TO</t>
  </si>
  <si>
    <t>SALE REF</t>
  </si>
  <si>
    <t>Balance</t>
  </si>
  <si>
    <t>GW</t>
  </si>
  <si>
    <t>GY</t>
  </si>
  <si>
    <t>Easpring March 2026</t>
  </si>
  <si>
    <t>Sum of GW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</si>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</sst>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1F0C8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center"/>
    </xf>
    <xf numFmtId="0" fontId="0" fillId="0" borderId="0" xfId="0" pivotButton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176" fontId="4" fillId="0" borderId="6" xfId="0" applyNumberFormat="1" applyFont="1" applyBorder="1" applyAlignment="1">
      <alignment horizontal="center" vertical="center"/>
    </xf>
  </cellXfs>
  <cellStyles count="2">
    <cellStyle name="Normal 2" xfId="1" xr:uid="{44A9E159-B7BF-4AF8-9FE2-477D646910F0}"/>
    <cellStyle name="표준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6" formatCode="0.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000000"/>
          <bgColor rgb="FFC1F0C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Lee\AppData\Local\Microsoft\Windows\INetCache\Content.Outlook\OKGDJSTE\Easpring%20-%20allocation%20list%20-%20fina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9.665717245371" createdVersion="8" refreshedVersion="8" minRefreshableVersion="3" recordCount="44" xr:uid="{5B356683-750F-4BD7-B6E5-CDE73D9FBB06}">
  <cacheSource type="worksheet">
    <worksheetSource name="표1" r:id="rId2"/>
  </cacheSource>
  <cacheFields count="25">
    <cacheField name="Product" numFmtId="0">
      <sharedItems count="2">
        <s v="MIC9000"/>
        <s v="MIC9000 Sample"/>
      </sharedItems>
    </cacheField>
    <cacheField name="SAP NO" numFmtId="0">
      <sharedItems containsSemiMixedTypes="0" containsString="0" containsNumber="1" containsInteger="1" minValue="2200032904" maxValue="2200033062" count="8">
        <n v="2200033057"/>
        <n v="2200033061"/>
        <n v="2200033059"/>
        <n v="2200033015"/>
        <n v="2200033058"/>
        <n v="2200033060"/>
        <n v="2200032904"/>
        <n v="2200033062" u="1"/>
      </sharedItems>
    </cacheField>
    <cacheField name="Date in stock" numFmtId="0">
      <sharedItems containsSemiMixedTypes="0" containsString="0" containsNumber="1" containsInteger="1" minValue="45943" maxValue="45966"/>
    </cacheField>
    <cacheField name="SC RCVD" numFmtId="0">
      <sharedItems containsSemiMixedTypes="0" containsString="0" containsNumber="1" containsInteger="1" minValue="45944" maxValue="45967"/>
    </cacheField>
    <cacheField name="Days" numFmtId="0">
      <sharedItems containsSemiMixedTypes="0" containsString="0" containsNumber="1" containsInteger="1" minValue="0" maxValue="10"/>
    </cacheField>
    <cacheField name="QTY (MT)" numFmtId="0">
      <sharedItems containsSemiMixedTypes="0" containsString="0" containsNumber="1" minValue="1E-3" maxValue="5"/>
    </cacheField>
    <cacheField name="Lot No" numFmtId="0">
      <sharedItems containsSemiMixedTypes="0" containsString="0" containsNumber="1" containsInteger="1" minValue="1125072729" maxValue="1125082732" count="35">
        <n v="1125072729"/>
        <n v="1125082329"/>
        <n v="1125082406"/>
        <n v="1125082407"/>
        <n v="1125081111"/>
        <n v="1125082410"/>
        <n v="1125082412"/>
        <n v="1125081114"/>
        <n v="1125082416"/>
        <n v="1125082418"/>
        <n v="1125082421"/>
        <n v="1125082424"/>
        <n v="1125082431"/>
        <n v="1125082438"/>
        <n v="1125081138"/>
        <n v="1125082449"/>
        <n v="1125082610"/>
        <n v="1125081314"/>
        <n v="1125081326"/>
        <n v="1125081327"/>
        <n v="1125081347"/>
        <n v="1125081425"/>
        <n v="1125082451" u="1"/>
        <n v="1125082452" u="1"/>
        <n v="1125082613" u="1"/>
        <n v="1125082614" u="1"/>
        <n v="1125082615" u="1"/>
        <n v="1125082619" u="1"/>
        <n v="1125082628" u="1"/>
        <n v="1125082708" u="1"/>
        <n v="1125082709" u="1"/>
        <n v="1125082727" u="1"/>
        <n v="1125082729" u="1"/>
        <n v="1125082731" u="1"/>
        <n v="1125082732" u="1"/>
      </sharedItems>
    </cacheField>
    <cacheField name="WH" numFmtId="0">
      <sharedItems/>
    </cacheField>
    <cacheField name="Import Date" numFmtId="0">
      <sharedItems containsNonDate="0" containsString="0" containsBlank="1"/>
    </cacheField>
    <cacheField name="Import Cert no." numFmtId="0">
      <sharedItems containsNonDate="0" containsString="0" containsBlank="1"/>
    </cacheField>
    <cacheField name="Salar Invoice no." numFmtId="0">
      <sharedItems containsNonDate="0" containsString="0" containsBlank="1"/>
    </cacheField>
    <cacheField name="Import - SPO No." numFmtId="0">
      <sharedItems containsNonDate="0" containsString="0" containsBlank="1"/>
    </cacheField>
    <cacheField name="SOLD TO" numFmtId="0">
      <sharedItems/>
    </cacheField>
    <cacheField name="SALE REF" numFmtId="0">
      <sharedItems containsNonDate="0" containsString="0" containsBlank="1"/>
    </cacheField>
    <cacheField name="Invoice date" numFmtId="0">
      <sharedItems containsNonDate="0" containsString="0" containsBlank="1"/>
    </cacheField>
    <cacheField name="Picked up Qty (MT)" numFmtId="0">
      <sharedItems containsNonDate="0" containsString="0" containsBlank="1"/>
    </cacheField>
    <cacheField name="Balance" numFmtId="0">
      <sharedItems containsSemiMixedTypes="0" containsString="0" containsNumber="1" minValue="1E-3" maxValue="5"/>
    </cacheField>
    <cacheField name="GW" numFmtId="0">
      <sharedItems containsSemiMixedTypes="0" containsString="0" containsNumber="1" minValue="1.25E-3" maxValue="5.13"/>
    </cacheField>
    <cacheField name="Actual pick up" numFmtId="0">
      <sharedItems containsNonDate="0" containsString="0" containsBlank="1"/>
    </cacheField>
    <cacheField name="Export Date" numFmtId="0">
      <sharedItems containsNonDate="0" containsString="0" containsBlank="1"/>
    </cacheField>
    <cacheField name="Export Cert no." numFmtId="0">
      <sharedItems containsNonDate="0" containsString="0" containsBlank="1"/>
    </cacheField>
    <cacheField name="Export - SPO No." numFmtId="0">
      <sharedItems containsNonDate="0" containsString="0" containsBlank="1"/>
    </cacheField>
    <cacheField name="Old" numFmtId="0">
      <sharedItems/>
    </cacheField>
    <cacheField name="Condition" numFmtId="0">
      <sharedItems containsNonDate="0" containsString="0" containsBlank="1"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n v="45952"/>
    <n v="45953"/>
    <n v="1"/>
    <n v="5"/>
    <x v="0"/>
    <s v="GY"/>
    <m/>
    <m/>
    <m/>
    <m/>
    <s v="Easpring March 2026"/>
    <m/>
    <m/>
    <m/>
    <n v="5"/>
    <n v="5.13"/>
    <m/>
    <m/>
    <m/>
    <m/>
    <s v=""/>
    <m/>
    <m/>
  </r>
  <r>
    <x v="1"/>
    <x v="0"/>
    <n v="45952"/>
    <n v="45953"/>
    <n v="1"/>
    <n v="1E-3"/>
    <x v="0"/>
    <s v="GY"/>
    <m/>
    <m/>
    <m/>
    <m/>
    <s v="Easpring March 2026"/>
    <m/>
    <m/>
    <m/>
    <n v="1E-3"/>
    <n v="1.25E-3"/>
    <m/>
    <m/>
    <m/>
    <m/>
    <s v=""/>
    <m/>
    <m/>
  </r>
  <r>
    <x v="0"/>
    <x v="0"/>
    <n v="45951"/>
    <n v="45951"/>
    <n v="0"/>
    <n v="5"/>
    <x v="1"/>
    <s v="GY"/>
    <m/>
    <m/>
    <m/>
    <m/>
    <s v="Easpring March 2026"/>
    <m/>
    <m/>
    <m/>
    <n v="5"/>
    <n v="5.13"/>
    <m/>
    <m/>
    <m/>
    <m/>
    <s v=""/>
    <m/>
    <m/>
  </r>
  <r>
    <x v="0"/>
    <x v="1"/>
    <n v="45951"/>
    <n v="45961"/>
    <n v="10"/>
    <n v="5"/>
    <x v="2"/>
    <s v="GY"/>
    <m/>
    <m/>
    <m/>
    <m/>
    <s v="Easpring March 2026"/>
    <m/>
    <m/>
    <m/>
    <n v="5"/>
    <n v="5.13"/>
    <m/>
    <m/>
    <m/>
    <m/>
    <s v=""/>
    <m/>
    <m/>
  </r>
  <r>
    <x v="0"/>
    <x v="2"/>
    <n v="45966"/>
    <n v="45967"/>
    <n v="1"/>
    <n v="5"/>
    <x v="3"/>
    <s v="GY"/>
    <m/>
    <m/>
    <m/>
    <m/>
    <s v="Easpring March 2026"/>
    <m/>
    <m/>
    <m/>
    <n v="5"/>
    <n v="5.13"/>
    <m/>
    <m/>
    <m/>
    <m/>
    <s v=""/>
    <m/>
    <m/>
  </r>
  <r>
    <x v="0"/>
    <x v="3"/>
    <n v="45943"/>
    <n v="45944"/>
    <n v="1"/>
    <n v="5"/>
    <x v="4"/>
    <s v="GY"/>
    <m/>
    <m/>
    <m/>
    <m/>
    <s v="Easpring March 2026"/>
    <m/>
    <m/>
    <m/>
    <n v="5"/>
    <n v="5.13"/>
    <m/>
    <m/>
    <m/>
    <m/>
    <s v=""/>
    <m/>
    <m/>
  </r>
  <r>
    <x v="1"/>
    <x v="3"/>
    <n v="45943"/>
    <n v="45944"/>
    <n v="1"/>
    <n v="1E-3"/>
    <x v="4"/>
    <s v="GY"/>
    <m/>
    <m/>
    <m/>
    <m/>
    <s v="Easpring March 2026"/>
    <m/>
    <m/>
    <m/>
    <n v="1E-3"/>
    <n v="1.25E-3"/>
    <m/>
    <m/>
    <m/>
    <m/>
    <s v=""/>
    <m/>
    <m/>
  </r>
  <r>
    <x v="0"/>
    <x v="2"/>
    <n v="45966"/>
    <n v="45967"/>
    <n v="1"/>
    <n v="5"/>
    <x v="5"/>
    <s v="GY"/>
    <m/>
    <m/>
    <m/>
    <m/>
    <s v="Easpring March 2026"/>
    <m/>
    <m/>
    <m/>
    <n v="5"/>
    <n v="5.13"/>
    <m/>
    <m/>
    <m/>
    <m/>
    <s v=""/>
    <m/>
    <m/>
  </r>
  <r>
    <x v="0"/>
    <x v="2"/>
    <n v="45966"/>
    <n v="45967"/>
    <n v="1"/>
    <n v="5"/>
    <x v="6"/>
    <s v="GY"/>
    <m/>
    <m/>
    <m/>
    <m/>
    <s v="Easpring March 2026"/>
    <m/>
    <m/>
    <m/>
    <n v="5"/>
    <n v="5.13"/>
    <m/>
    <m/>
    <m/>
    <m/>
    <s v=""/>
    <m/>
    <m/>
  </r>
  <r>
    <x v="0"/>
    <x v="1"/>
    <n v="45951"/>
    <n v="45961"/>
    <n v="10"/>
    <n v="5"/>
    <x v="7"/>
    <s v="GY"/>
    <m/>
    <m/>
    <m/>
    <m/>
    <s v="Easpring March 2026"/>
    <m/>
    <m/>
    <m/>
    <n v="5"/>
    <n v="5.13"/>
    <m/>
    <m/>
    <m/>
    <m/>
    <s v=""/>
    <m/>
    <m/>
  </r>
  <r>
    <x v="1"/>
    <x v="1"/>
    <n v="45951"/>
    <n v="45961"/>
    <n v="10"/>
    <n v="1E-3"/>
    <x v="7"/>
    <s v="GY"/>
    <m/>
    <m/>
    <m/>
    <m/>
    <s v="Easpring March 2026"/>
    <m/>
    <m/>
    <m/>
    <n v="1E-3"/>
    <n v="1.25E-3"/>
    <m/>
    <m/>
    <m/>
    <m/>
    <s v=""/>
    <m/>
    <m/>
  </r>
  <r>
    <x v="0"/>
    <x v="1"/>
    <n v="45951"/>
    <n v="45961"/>
    <n v="10"/>
    <n v="5"/>
    <x v="8"/>
    <s v="GY"/>
    <m/>
    <m/>
    <m/>
    <m/>
    <s v="Easpring March 2026"/>
    <m/>
    <m/>
    <m/>
    <n v="5"/>
    <n v="5.13"/>
    <m/>
    <m/>
    <m/>
    <m/>
    <s v=""/>
    <m/>
    <m/>
  </r>
  <r>
    <x v="0"/>
    <x v="2"/>
    <n v="45966"/>
    <n v="45967"/>
    <n v="1"/>
    <n v="5"/>
    <x v="9"/>
    <s v="GY"/>
    <m/>
    <m/>
    <m/>
    <m/>
    <s v="Easpring March 2026"/>
    <m/>
    <m/>
    <m/>
    <n v="5"/>
    <n v="5.13"/>
    <m/>
    <m/>
    <m/>
    <m/>
    <s v=""/>
    <m/>
    <m/>
  </r>
  <r>
    <x v="0"/>
    <x v="2"/>
    <n v="45966"/>
    <n v="45967"/>
    <n v="1"/>
    <n v="5"/>
    <x v="10"/>
    <s v="GY"/>
    <m/>
    <m/>
    <m/>
    <m/>
    <s v="Easpring March 2026"/>
    <m/>
    <m/>
    <m/>
    <n v="5"/>
    <n v="5.13"/>
    <m/>
    <m/>
    <m/>
    <m/>
    <s v=""/>
    <m/>
    <m/>
  </r>
  <r>
    <x v="0"/>
    <x v="2"/>
    <n v="45966"/>
    <n v="45967"/>
    <n v="1"/>
    <n v="5"/>
    <x v="11"/>
    <s v="GY"/>
    <m/>
    <m/>
    <m/>
    <m/>
    <s v="Easpring March 2026"/>
    <m/>
    <m/>
    <m/>
    <n v="5"/>
    <n v="5.13"/>
    <m/>
    <m/>
    <m/>
    <m/>
    <s v=""/>
    <m/>
    <m/>
  </r>
  <r>
    <x v="0"/>
    <x v="4"/>
    <n v="45953"/>
    <n v="45953"/>
    <n v="0"/>
    <n v="5"/>
    <x v="12"/>
    <s v="GY"/>
    <m/>
    <m/>
    <m/>
    <m/>
    <s v="Easpring March 2026"/>
    <m/>
    <m/>
    <m/>
    <n v="5"/>
    <n v="5.13"/>
    <m/>
    <m/>
    <m/>
    <m/>
    <s v=""/>
    <m/>
    <m/>
  </r>
  <r>
    <x v="0"/>
    <x v="5"/>
    <n v="45958"/>
    <n v="45961"/>
    <n v="3"/>
    <n v="5"/>
    <x v="13"/>
    <s v="GY"/>
    <m/>
    <m/>
    <m/>
    <m/>
    <s v="Easpring March 2026"/>
    <m/>
    <m/>
    <m/>
    <n v="5"/>
    <n v="5.13"/>
    <m/>
    <m/>
    <m/>
    <m/>
    <s v=""/>
    <m/>
    <m/>
  </r>
  <r>
    <x v="0"/>
    <x v="6"/>
    <n v="45944"/>
    <n v="45945"/>
    <n v="1"/>
    <n v="5"/>
    <x v="14"/>
    <s v="GY"/>
    <m/>
    <m/>
    <m/>
    <m/>
    <s v="Easpring March 2026"/>
    <m/>
    <m/>
    <m/>
    <n v="5"/>
    <n v="5.13"/>
    <m/>
    <m/>
    <m/>
    <m/>
    <s v=""/>
    <m/>
    <m/>
  </r>
  <r>
    <x v="1"/>
    <x v="6"/>
    <n v="45944"/>
    <n v="45945"/>
    <n v="1"/>
    <n v="1E-3"/>
    <x v="14"/>
    <s v="GY"/>
    <m/>
    <m/>
    <m/>
    <m/>
    <s v="Easpring March 2026"/>
    <m/>
    <m/>
    <m/>
    <n v="1E-3"/>
    <n v="1.25E-3"/>
    <m/>
    <m/>
    <m/>
    <m/>
    <s v=""/>
    <m/>
    <m/>
  </r>
  <r>
    <x v="0"/>
    <x v="1"/>
    <n v="45951"/>
    <n v="45961"/>
    <n v="10"/>
    <n v="5"/>
    <x v="15"/>
    <s v="GY"/>
    <m/>
    <m/>
    <m/>
    <m/>
    <s v="Easpring March 2026"/>
    <m/>
    <m/>
    <m/>
    <n v="5"/>
    <n v="5.13"/>
    <m/>
    <m/>
    <m/>
    <m/>
    <s v=""/>
    <m/>
    <m/>
  </r>
  <r>
    <x v="0"/>
    <x v="1"/>
    <n v="45951"/>
    <n v="45961"/>
    <n v="10"/>
    <n v="5"/>
    <x v="16"/>
    <s v="GY"/>
    <m/>
    <m/>
    <m/>
    <m/>
    <s v="Easpring March 2026"/>
    <m/>
    <m/>
    <m/>
    <n v="5"/>
    <n v="5.13"/>
    <m/>
    <m/>
    <m/>
    <m/>
    <s v=""/>
    <m/>
    <m/>
  </r>
  <r>
    <x v="0"/>
    <x v="0"/>
    <n v="45952"/>
    <n v="45953"/>
    <n v="1"/>
    <n v="5"/>
    <x v="17"/>
    <s v="GY"/>
    <m/>
    <m/>
    <m/>
    <m/>
    <s v="Easpring March 2026"/>
    <m/>
    <m/>
    <m/>
    <n v="5"/>
    <n v="5.13"/>
    <m/>
    <m/>
    <m/>
    <m/>
    <s v=""/>
    <m/>
    <m/>
  </r>
  <r>
    <x v="1"/>
    <x v="0"/>
    <n v="45952"/>
    <n v="45953"/>
    <n v="1"/>
    <n v="1E-3"/>
    <x v="17"/>
    <s v="GY"/>
    <m/>
    <m/>
    <m/>
    <m/>
    <s v="Easpring March 2026"/>
    <m/>
    <m/>
    <m/>
    <n v="1E-3"/>
    <n v="1.25E-3"/>
    <m/>
    <m/>
    <m/>
    <m/>
    <s v=""/>
    <m/>
    <m/>
  </r>
  <r>
    <x v="0"/>
    <x v="0"/>
    <n v="45952"/>
    <n v="45953"/>
    <n v="1"/>
    <n v="5"/>
    <x v="18"/>
    <s v="GY"/>
    <m/>
    <m/>
    <m/>
    <m/>
    <s v="Easpring March 2026"/>
    <m/>
    <m/>
    <m/>
    <n v="5"/>
    <n v="5.13"/>
    <m/>
    <m/>
    <m/>
    <m/>
    <s v=""/>
    <m/>
    <m/>
  </r>
  <r>
    <x v="1"/>
    <x v="0"/>
    <n v="45952"/>
    <n v="45953"/>
    <n v="1"/>
    <n v="1E-3"/>
    <x v="18"/>
    <s v="GY"/>
    <m/>
    <m/>
    <m/>
    <m/>
    <s v="Easpring March 2026"/>
    <m/>
    <m/>
    <m/>
    <n v="1E-3"/>
    <n v="1.25E-3"/>
    <m/>
    <m/>
    <m/>
    <m/>
    <s v=""/>
    <m/>
    <m/>
  </r>
  <r>
    <x v="0"/>
    <x v="0"/>
    <n v="45951"/>
    <n v="45951"/>
    <n v="0"/>
    <n v="5"/>
    <x v="19"/>
    <s v="GY"/>
    <m/>
    <m/>
    <m/>
    <m/>
    <s v="Easpring March 2026"/>
    <m/>
    <m/>
    <m/>
    <n v="5"/>
    <n v="5.13"/>
    <m/>
    <m/>
    <m/>
    <m/>
    <s v=""/>
    <m/>
    <m/>
  </r>
  <r>
    <x v="1"/>
    <x v="0"/>
    <n v="45951"/>
    <n v="45951"/>
    <n v="0"/>
    <n v="1E-3"/>
    <x v="19"/>
    <s v="GY"/>
    <m/>
    <m/>
    <m/>
    <m/>
    <s v="Easpring March 2026"/>
    <m/>
    <m/>
    <m/>
    <n v="1E-3"/>
    <n v="1.25E-3"/>
    <m/>
    <m/>
    <m/>
    <m/>
    <s v=""/>
    <m/>
    <m/>
  </r>
  <r>
    <x v="0"/>
    <x v="0"/>
    <n v="45952"/>
    <n v="45953"/>
    <n v="1"/>
    <n v="5"/>
    <x v="20"/>
    <s v="GY"/>
    <m/>
    <m/>
    <m/>
    <m/>
    <s v="Easpring March 2026"/>
    <m/>
    <m/>
    <m/>
    <n v="5"/>
    <n v="5.13"/>
    <m/>
    <m/>
    <m/>
    <m/>
    <s v=""/>
    <m/>
    <m/>
  </r>
  <r>
    <x v="1"/>
    <x v="0"/>
    <n v="45952"/>
    <n v="45953"/>
    <n v="1"/>
    <n v="1E-3"/>
    <x v="20"/>
    <s v="GY"/>
    <m/>
    <m/>
    <m/>
    <m/>
    <s v="Easpring March 2026"/>
    <m/>
    <m/>
    <m/>
    <n v="1E-3"/>
    <n v="1.25E-3"/>
    <m/>
    <m/>
    <m/>
    <m/>
    <s v=""/>
    <m/>
    <m/>
  </r>
  <r>
    <x v="0"/>
    <x v="5"/>
    <n v="45958"/>
    <n v="45961"/>
    <n v="3"/>
    <n v="5"/>
    <x v="21"/>
    <s v="GY"/>
    <m/>
    <m/>
    <m/>
    <m/>
    <s v="Easpring March 2026"/>
    <m/>
    <m/>
    <m/>
    <n v="5"/>
    <n v="5.13"/>
    <m/>
    <m/>
    <m/>
    <m/>
    <s v=""/>
    <m/>
    <m/>
  </r>
  <r>
    <x v="1"/>
    <x v="5"/>
    <n v="45958"/>
    <n v="45961"/>
    <n v="3"/>
    <n v="1E-3"/>
    <x v="21"/>
    <s v="GY"/>
    <m/>
    <m/>
    <m/>
    <m/>
    <s v="Easpring March 2026"/>
    <m/>
    <m/>
    <m/>
    <n v="1E-3"/>
    <n v="1.25E-3"/>
    <m/>
    <m/>
    <m/>
    <m/>
    <s v=""/>
    <m/>
    <m/>
  </r>
  <r>
    <x v="1"/>
    <x v="0"/>
    <n v="45951"/>
    <n v="45951"/>
    <n v="0"/>
    <n v="1E-3"/>
    <x v="1"/>
    <s v="GY"/>
    <m/>
    <m/>
    <m/>
    <m/>
    <s v="Easpring March 2026"/>
    <m/>
    <m/>
    <m/>
    <n v="1E-3"/>
    <n v="1.25E-3"/>
    <m/>
    <m/>
    <m/>
    <m/>
    <s v=""/>
    <m/>
    <m/>
  </r>
  <r>
    <x v="1"/>
    <x v="1"/>
    <n v="45951"/>
    <n v="45961"/>
    <n v="10"/>
    <n v="1E-3"/>
    <x v="2"/>
    <s v="GY"/>
    <m/>
    <m/>
    <m/>
    <m/>
    <s v="Easpring March 2026"/>
    <m/>
    <m/>
    <m/>
    <n v="1E-3"/>
    <n v="1.25E-3"/>
    <m/>
    <m/>
    <m/>
    <m/>
    <s v=""/>
    <m/>
    <m/>
  </r>
  <r>
    <x v="1"/>
    <x v="2"/>
    <n v="45966"/>
    <n v="45967"/>
    <n v="1"/>
    <n v="1E-3"/>
    <x v="3"/>
    <s v="GY"/>
    <m/>
    <m/>
    <m/>
    <m/>
    <s v="Easpring March 2026"/>
    <m/>
    <m/>
    <m/>
    <n v="1E-3"/>
    <n v="1.25E-3"/>
    <m/>
    <m/>
    <m/>
    <m/>
    <s v=""/>
    <m/>
    <m/>
  </r>
  <r>
    <x v="1"/>
    <x v="2"/>
    <n v="45966"/>
    <n v="45967"/>
    <n v="1"/>
    <n v="1E-3"/>
    <x v="5"/>
    <s v="GY"/>
    <m/>
    <m/>
    <m/>
    <m/>
    <s v="Easpring March 2026"/>
    <m/>
    <m/>
    <m/>
    <n v="1E-3"/>
    <n v="1.25E-3"/>
    <m/>
    <m/>
    <m/>
    <m/>
    <s v=""/>
    <m/>
    <m/>
  </r>
  <r>
    <x v="1"/>
    <x v="2"/>
    <n v="45966"/>
    <n v="45967"/>
    <n v="1"/>
    <n v="1E-3"/>
    <x v="6"/>
    <s v="GY"/>
    <m/>
    <m/>
    <m/>
    <m/>
    <s v="Easpring March 2026"/>
    <m/>
    <m/>
    <m/>
    <n v="1E-3"/>
    <n v="1.25E-3"/>
    <m/>
    <m/>
    <m/>
    <m/>
    <s v=""/>
    <m/>
    <m/>
  </r>
  <r>
    <x v="1"/>
    <x v="1"/>
    <n v="45951"/>
    <n v="45961"/>
    <n v="10"/>
    <n v="1E-3"/>
    <x v="8"/>
    <s v="GY"/>
    <m/>
    <m/>
    <m/>
    <m/>
    <s v="Easpring March 2026"/>
    <m/>
    <m/>
    <m/>
    <n v="1E-3"/>
    <n v="1.25E-3"/>
    <m/>
    <m/>
    <m/>
    <m/>
    <s v=""/>
    <m/>
    <m/>
  </r>
  <r>
    <x v="1"/>
    <x v="2"/>
    <n v="45966"/>
    <n v="45967"/>
    <n v="1"/>
    <n v="1E-3"/>
    <x v="9"/>
    <s v="GY"/>
    <m/>
    <m/>
    <m/>
    <m/>
    <s v="Easpring March 2026"/>
    <m/>
    <m/>
    <m/>
    <n v="1E-3"/>
    <n v="1.25E-3"/>
    <m/>
    <m/>
    <m/>
    <m/>
    <s v=""/>
    <m/>
    <m/>
  </r>
  <r>
    <x v="1"/>
    <x v="2"/>
    <n v="45966"/>
    <n v="45967"/>
    <n v="1"/>
    <n v="1E-3"/>
    <x v="10"/>
    <s v="GY"/>
    <m/>
    <m/>
    <m/>
    <m/>
    <s v="Easpring March 2026"/>
    <m/>
    <m/>
    <m/>
    <n v="1E-3"/>
    <n v="1.25E-3"/>
    <m/>
    <m/>
    <m/>
    <m/>
    <s v=""/>
    <m/>
    <m/>
  </r>
  <r>
    <x v="1"/>
    <x v="2"/>
    <n v="45966"/>
    <n v="45967"/>
    <n v="1"/>
    <n v="1E-3"/>
    <x v="11"/>
    <s v="GY"/>
    <m/>
    <m/>
    <m/>
    <m/>
    <s v="Easpring March 2026"/>
    <m/>
    <m/>
    <m/>
    <n v="1E-3"/>
    <n v="1.25E-3"/>
    <m/>
    <m/>
    <m/>
    <m/>
    <s v=""/>
    <m/>
    <m/>
  </r>
  <r>
    <x v="1"/>
    <x v="4"/>
    <n v="45953"/>
    <n v="45953"/>
    <n v="0"/>
    <n v="1E-3"/>
    <x v="12"/>
    <s v="GY"/>
    <m/>
    <m/>
    <m/>
    <m/>
    <s v="Easpring March 2026"/>
    <m/>
    <m/>
    <m/>
    <n v="1E-3"/>
    <n v="1.25E-3"/>
    <m/>
    <m/>
    <m/>
    <m/>
    <s v=""/>
    <m/>
    <m/>
  </r>
  <r>
    <x v="1"/>
    <x v="5"/>
    <n v="45958"/>
    <n v="45961"/>
    <n v="3"/>
    <n v="1E-3"/>
    <x v="13"/>
    <s v="GY"/>
    <m/>
    <m/>
    <m/>
    <m/>
    <s v="Easpring March 2026"/>
    <m/>
    <m/>
    <m/>
    <n v="1E-3"/>
    <n v="1.25E-3"/>
    <m/>
    <m/>
    <m/>
    <m/>
    <s v=""/>
    <m/>
    <m/>
  </r>
  <r>
    <x v="1"/>
    <x v="1"/>
    <n v="45951"/>
    <n v="45961"/>
    <n v="10"/>
    <n v="1E-3"/>
    <x v="15"/>
    <s v="GY"/>
    <m/>
    <m/>
    <m/>
    <m/>
    <s v="Easpring March 2026"/>
    <m/>
    <m/>
    <m/>
    <n v="1E-3"/>
    <n v="1.25E-3"/>
    <m/>
    <m/>
    <m/>
    <m/>
    <s v=""/>
    <m/>
    <m/>
  </r>
  <r>
    <x v="1"/>
    <x v="1"/>
    <n v="45951"/>
    <n v="45961"/>
    <n v="10"/>
    <n v="1E-3"/>
    <x v="16"/>
    <s v="GY"/>
    <m/>
    <m/>
    <m/>
    <m/>
    <s v="Easpring March 2026"/>
    <m/>
    <m/>
    <m/>
    <n v="1E-3"/>
    <n v="1.25E-3"/>
    <m/>
    <m/>
    <m/>
    <m/>
    <s v="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5C28D-C020-4669-992B-8C8850A3C5E4}" name="피벗 테이블4" cacheId="3" applyNumberFormats="0" applyBorderFormats="0" applyFontFormats="0" applyPatternFormats="0" applyAlignmentFormats="0" applyWidthHeightFormats="1" dataCaption="값" updatedVersion="8" minRefreshableVersion="3" itemPrintTitles="1" createdVersion="8" indent="0" compact="0" compactData="0" multipleFieldFilters="0">
  <location ref="B2:D10" firstHeaderRow="0" firstDataRow="1" firstDataCol="1"/>
  <pivotFields count="25">
    <pivotField compact="0" outline="0" showAll="0" defaultSubtotal="0">
      <items count="2">
        <item x="0"/>
        <item x="1"/>
      </items>
    </pivotField>
    <pivotField axis="axisRow" compact="0" outline="0" showAll="0" defaultSubtotal="0">
      <items count="8">
        <item sd="0" x="0"/>
        <item sd="0" x="3"/>
        <item sd="0" x="1"/>
        <item sd="0" x="6"/>
        <item sd="0" x="5"/>
        <item sd="0" m="1" x="7"/>
        <item x="2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5">
        <item x="0"/>
        <item x="4"/>
        <item x="7"/>
        <item x="14"/>
        <item x="17"/>
        <item x="18"/>
        <item x="19"/>
        <item x="20"/>
        <item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x="1"/>
        <item x="2"/>
        <item x="3"/>
        <item x="5"/>
        <item x="6"/>
        <item x="8"/>
        <item x="9"/>
        <item x="10"/>
        <item x="11"/>
        <item x="12"/>
        <item x="13"/>
        <item x="15"/>
        <item x="16"/>
      </items>
    </pivotField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Balance" fld="16" baseField="0" baseItem="0"/>
    <dataField name="Sum of GW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D64454-9247-496B-B2CE-6306277713B9}" name="표1" displayName="표1" ref="A14:J59" totalsRowCount="1" headerRowDxfId="24" dataDxfId="22" headerRowBorderDxfId="23" tableBorderDxfId="21" totalsRowBorderDxfId="20">
  <autoFilter ref="A14:J58" xr:uid="{074A318A-1ED1-4D65-A51C-A72E387ECDE0}"/>
  <sortState xmlns:xlrd2="http://schemas.microsoft.com/office/spreadsheetml/2017/richdata2" ref="A15:J58">
    <sortCondition ref="E14:E58"/>
  </sortState>
  <tableColumns count="10">
    <tableColumn id="1" xr3:uid="{7A722975-CE1F-4186-BA0F-C38653457E1E}" name="Product" dataDxfId="19" totalsRowDxfId="18" totalsRowCellStyle="Normal 2"/>
    <tableColumn id="2" xr3:uid="{481790DE-5F9E-4D99-A1EE-FA55BB87E91F}" name="SAP NO" dataDxfId="17" totalsRowDxfId="16" totalsRowCellStyle="Normal 2"/>
    <tableColumn id="3" xr3:uid="{9A4D84F3-DDEE-452C-9E1D-D962AF16CF8C}" name="Date in stock" dataDxfId="15" totalsRowDxfId="14" totalsRowCellStyle="Normal 2"/>
    <tableColumn id="4" xr3:uid="{28DF2848-D956-413A-9489-F917EEC914D5}" name="SC RCVD" dataDxfId="13" totalsRowDxfId="12" totalsRowCellStyle="Normal 2"/>
    <tableColumn id="7" xr3:uid="{09DCE56B-38FF-4925-875E-985614C35185}" name="Lot No" dataDxfId="11" totalsRowDxfId="10" totalsRowCellStyle="Normal 2"/>
    <tableColumn id="8" xr3:uid="{C13A8F55-31D2-44AB-8169-00EE2D35E704}" name="WH" dataDxfId="9" totalsRowDxfId="8" totalsRowCellStyle="Normal 2"/>
    <tableColumn id="13" xr3:uid="{ED31D821-2DCA-4F43-AC15-86DB112973E3}" name="SOLD TO" dataDxfId="7" totalsRowDxfId="6" totalsRowCellStyle="Normal 2"/>
    <tableColumn id="14" xr3:uid="{272D00AC-FE8B-4190-B4B6-5C7E9D4C188F}" name="SALE REF" dataDxfId="5" totalsRowDxfId="4" totalsRowCellStyle="Normal 2"/>
    <tableColumn id="17" xr3:uid="{86024B7B-A1CA-4FD6-A32F-6B3DFBC88B63}" name="Balance" totalsRowFunction="custom" dataDxfId="3" totalsRowDxfId="2" totalsRowCellStyle="Normal 2">
      <totalsRowFormula>SUM(표1[Balance])</totalsRowFormula>
    </tableColumn>
    <tableColumn id="18" xr3:uid="{A283553B-56FB-4039-9FE5-1F326291EB77}" name="GW" totalsRowFunction="custom" dataDxfId="1" totalsRowDxfId="0" totalsRowCellStyle="Normal 2">
      <totalsRowFormula>SUM(표1[GW])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4E68-DB67-4861-B80C-8448EC993ACC}">
  <dimension ref="A2:J59"/>
  <sheetViews>
    <sheetView tabSelected="1" workbookViewId="0">
      <selection activeCell="R61" sqref="R61"/>
    </sheetView>
  </sheetViews>
  <sheetFormatPr defaultColWidth="8.75" defaultRowHeight="16.5" x14ac:dyDescent="0.3"/>
  <cols>
    <col min="1" max="1" width="13.25" style="1" bestFit="1" customWidth="1"/>
    <col min="2" max="2" width="15.25" style="1" bestFit="1" customWidth="1"/>
    <col min="3" max="3" width="12.5" style="1" customWidth="1"/>
    <col min="4" max="4" width="13" style="1" customWidth="1"/>
    <col min="5" max="5" width="9.875" style="1" bestFit="1" customWidth="1"/>
    <col min="6" max="6" width="5.5" style="1" customWidth="1"/>
    <col min="7" max="7" width="16.25" style="1" bestFit="1" customWidth="1"/>
    <col min="8" max="8" width="11.75" style="1" bestFit="1" customWidth="1"/>
    <col min="9" max="9" width="8.625" style="1" customWidth="1"/>
    <col min="10" max="10" width="11.625" style="1" customWidth="1"/>
    <col min="11" max="16384" width="8.75" style="1"/>
  </cols>
  <sheetData>
    <row r="2" spans="1:10" x14ac:dyDescent="0.3">
      <c r="B2" s="14" t="s">
        <v>1</v>
      </c>
      <c r="C2" t="s">
        <v>2</v>
      </c>
      <c r="D2" t="s">
        <v>15</v>
      </c>
    </row>
    <row r="3" spans="1:10" x14ac:dyDescent="0.3">
      <c r="B3">
        <v>2200033057</v>
      </c>
      <c r="C3">
        <v>30.006000000000007</v>
      </c>
      <c r="D3">
        <v>30.787499999999994</v>
      </c>
    </row>
    <row r="4" spans="1:10" x14ac:dyDescent="0.3">
      <c r="B4">
        <v>2200033015</v>
      </c>
      <c r="C4">
        <v>5.0010000000000003</v>
      </c>
      <c r="D4">
        <v>5.1312499999999996</v>
      </c>
    </row>
    <row r="5" spans="1:10" x14ac:dyDescent="0.3">
      <c r="B5">
        <v>2200033061</v>
      </c>
      <c r="C5">
        <v>25.005000000000003</v>
      </c>
      <c r="D5">
        <v>25.656249999999993</v>
      </c>
    </row>
    <row r="6" spans="1:10" x14ac:dyDescent="0.3">
      <c r="B6">
        <v>2200032904</v>
      </c>
      <c r="C6">
        <v>5.0010000000000003</v>
      </c>
      <c r="D6">
        <v>5.1312499999999996</v>
      </c>
    </row>
    <row r="7" spans="1:10" x14ac:dyDescent="0.3">
      <c r="B7">
        <v>2200033060</v>
      </c>
      <c r="C7">
        <v>10.001999999999999</v>
      </c>
      <c r="D7">
        <v>10.262500000000001</v>
      </c>
    </row>
    <row r="8" spans="1:10" x14ac:dyDescent="0.3">
      <c r="B8">
        <v>2200033059</v>
      </c>
      <c r="C8">
        <v>30.006000000000007</v>
      </c>
      <c r="D8">
        <v>30.787499999999991</v>
      </c>
    </row>
    <row r="9" spans="1:10" x14ac:dyDescent="0.3">
      <c r="B9">
        <v>2200033058</v>
      </c>
      <c r="C9">
        <v>5.0010000000000003</v>
      </c>
      <c r="D9">
        <v>5.1312499999999996</v>
      </c>
    </row>
    <row r="10" spans="1:10" x14ac:dyDescent="0.3">
      <c r="B10" t="s">
        <v>16</v>
      </c>
      <c r="C10">
        <v>110.02200000000002</v>
      </c>
      <c r="D10">
        <v>112.88749999999997</v>
      </c>
    </row>
    <row r="11" spans="1:10" x14ac:dyDescent="0.3">
      <c r="B11"/>
      <c r="C11"/>
      <c r="D11"/>
    </row>
    <row r="14" spans="1:10" x14ac:dyDescent="0.3">
      <c r="A14" s="2" t="s">
        <v>0</v>
      </c>
      <c r="B14" s="3" t="s">
        <v>1</v>
      </c>
      <c r="C14" s="4" t="s">
        <v>5</v>
      </c>
      <c r="D14" s="4" t="s">
        <v>6</v>
      </c>
      <c r="E14" s="3" t="s">
        <v>7</v>
      </c>
      <c r="F14" s="3" t="s">
        <v>8</v>
      </c>
      <c r="G14" s="3" t="s">
        <v>9</v>
      </c>
      <c r="H14" s="3" t="s">
        <v>10</v>
      </c>
      <c r="I14" s="5" t="s">
        <v>11</v>
      </c>
      <c r="J14" s="5" t="s">
        <v>12</v>
      </c>
    </row>
    <row r="15" spans="1:10" x14ac:dyDescent="0.3">
      <c r="A15" s="6" t="s">
        <v>3</v>
      </c>
      <c r="B15" s="7">
        <v>2200033057</v>
      </c>
      <c r="C15" s="7">
        <v>45952</v>
      </c>
      <c r="D15" s="7">
        <v>45953</v>
      </c>
      <c r="E15" s="7">
        <v>1125072729</v>
      </c>
      <c r="F15" s="8" t="s">
        <v>13</v>
      </c>
      <c r="G15" s="9" t="s">
        <v>14</v>
      </c>
      <c r="H15" s="9">
        <v>3599</v>
      </c>
      <c r="I15" s="8">
        <v>5</v>
      </c>
      <c r="J15" s="8">
        <v>5.13</v>
      </c>
    </row>
    <row r="16" spans="1:10" x14ac:dyDescent="0.3">
      <c r="A16" s="6" t="s">
        <v>4</v>
      </c>
      <c r="B16" s="7">
        <v>2200033057</v>
      </c>
      <c r="C16" s="7">
        <v>45952</v>
      </c>
      <c r="D16" s="7">
        <v>45953</v>
      </c>
      <c r="E16" s="7">
        <v>1125072729</v>
      </c>
      <c r="F16" s="8" t="s">
        <v>13</v>
      </c>
      <c r="G16" s="9" t="s">
        <v>14</v>
      </c>
      <c r="H16" s="9">
        <v>3599</v>
      </c>
      <c r="I16" s="8">
        <v>1E-3</v>
      </c>
      <c r="J16" s="8">
        <v>1.25E-3</v>
      </c>
    </row>
    <row r="17" spans="1:10" x14ac:dyDescent="0.3">
      <c r="A17" s="6" t="s">
        <v>3</v>
      </c>
      <c r="B17" s="7">
        <v>2200033015</v>
      </c>
      <c r="C17" s="7">
        <v>45943</v>
      </c>
      <c r="D17" s="7">
        <v>45944</v>
      </c>
      <c r="E17" s="7">
        <v>1125081111</v>
      </c>
      <c r="F17" s="8" t="s">
        <v>13</v>
      </c>
      <c r="G17" s="9" t="s">
        <v>14</v>
      </c>
      <c r="H17" s="9">
        <v>3599</v>
      </c>
      <c r="I17" s="8">
        <v>5</v>
      </c>
      <c r="J17" s="8">
        <v>5.13</v>
      </c>
    </row>
    <row r="18" spans="1:10" x14ac:dyDescent="0.3">
      <c r="A18" s="6" t="s">
        <v>4</v>
      </c>
      <c r="B18" s="7">
        <v>2200033015</v>
      </c>
      <c r="C18" s="7">
        <v>45943</v>
      </c>
      <c r="D18" s="7">
        <v>45944</v>
      </c>
      <c r="E18" s="7">
        <v>1125081111</v>
      </c>
      <c r="F18" s="8" t="s">
        <v>13</v>
      </c>
      <c r="G18" s="9" t="s">
        <v>14</v>
      </c>
      <c r="H18" s="9">
        <v>3599</v>
      </c>
      <c r="I18" s="8">
        <v>1E-3</v>
      </c>
      <c r="J18" s="8">
        <v>1.25E-3</v>
      </c>
    </row>
    <row r="19" spans="1:10" x14ac:dyDescent="0.3">
      <c r="A19" s="6" t="s">
        <v>3</v>
      </c>
      <c r="B19" s="7">
        <v>2200033061</v>
      </c>
      <c r="C19" s="7">
        <v>45951</v>
      </c>
      <c r="D19" s="7">
        <v>45961</v>
      </c>
      <c r="E19" s="7">
        <v>1125081114</v>
      </c>
      <c r="F19" s="8" t="s">
        <v>13</v>
      </c>
      <c r="G19" s="9" t="s">
        <v>14</v>
      </c>
      <c r="H19" s="9">
        <v>3599</v>
      </c>
      <c r="I19" s="8">
        <v>5</v>
      </c>
      <c r="J19" s="8">
        <v>5.13</v>
      </c>
    </row>
    <row r="20" spans="1:10" x14ac:dyDescent="0.3">
      <c r="A20" s="6" t="s">
        <v>4</v>
      </c>
      <c r="B20" s="7">
        <v>2200033061</v>
      </c>
      <c r="C20" s="7">
        <v>45951</v>
      </c>
      <c r="D20" s="7">
        <v>45961</v>
      </c>
      <c r="E20" s="7">
        <v>1125081114</v>
      </c>
      <c r="F20" s="8" t="s">
        <v>13</v>
      </c>
      <c r="G20" s="9" t="s">
        <v>14</v>
      </c>
      <c r="H20" s="9">
        <v>3599</v>
      </c>
      <c r="I20" s="8">
        <v>1E-3</v>
      </c>
      <c r="J20" s="8">
        <v>1.25E-3</v>
      </c>
    </row>
    <row r="21" spans="1:10" x14ac:dyDescent="0.3">
      <c r="A21" s="6" t="s">
        <v>3</v>
      </c>
      <c r="B21" s="7">
        <v>2200032904</v>
      </c>
      <c r="C21" s="7">
        <v>45944</v>
      </c>
      <c r="D21" s="7">
        <v>45945</v>
      </c>
      <c r="E21" s="7">
        <v>1125081138</v>
      </c>
      <c r="F21" s="8" t="s">
        <v>13</v>
      </c>
      <c r="G21" s="9" t="s">
        <v>14</v>
      </c>
      <c r="H21" s="9">
        <v>3599</v>
      </c>
      <c r="I21" s="8">
        <v>5</v>
      </c>
      <c r="J21" s="8">
        <v>5.13</v>
      </c>
    </row>
    <row r="22" spans="1:10" x14ac:dyDescent="0.3">
      <c r="A22" s="6" t="s">
        <v>4</v>
      </c>
      <c r="B22" s="7">
        <v>2200032904</v>
      </c>
      <c r="C22" s="7">
        <v>45944</v>
      </c>
      <c r="D22" s="7">
        <v>45945</v>
      </c>
      <c r="E22" s="7">
        <v>1125081138</v>
      </c>
      <c r="F22" s="8" t="s">
        <v>13</v>
      </c>
      <c r="G22" s="9" t="s">
        <v>14</v>
      </c>
      <c r="H22" s="9">
        <v>3599</v>
      </c>
      <c r="I22" s="8">
        <v>1E-3</v>
      </c>
      <c r="J22" s="8">
        <v>1.25E-3</v>
      </c>
    </row>
    <row r="23" spans="1:10" x14ac:dyDescent="0.3">
      <c r="A23" s="6" t="s">
        <v>3</v>
      </c>
      <c r="B23" s="7">
        <v>2200033057</v>
      </c>
      <c r="C23" s="7">
        <v>45952</v>
      </c>
      <c r="D23" s="7">
        <v>45953</v>
      </c>
      <c r="E23" s="7">
        <v>1125081314</v>
      </c>
      <c r="F23" s="8" t="s">
        <v>13</v>
      </c>
      <c r="G23" s="9" t="s">
        <v>14</v>
      </c>
      <c r="H23" s="9">
        <v>3599</v>
      </c>
      <c r="I23" s="8">
        <v>5</v>
      </c>
      <c r="J23" s="8">
        <v>5.13</v>
      </c>
    </row>
    <row r="24" spans="1:10" x14ac:dyDescent="0.3">
      <c r="A24" s="6" t="s">
        <v>4</v>
      </c>
      <c r="B24" s="7">
        <v>2200033057</v>
      </c>
      <c r="C24" s="7">
        <v>45952</v>
      </c>
      <c r="D24" s="7">
        <v>45953</v>
      </c>
      <c r="E24" s="7">
        <v>1125081314</v>
      </c>
      <c r="F24" s="8" t="s">
        <v>13</v>
      </c>
      <c r="G24" s="9" t="s">
        <v>14</v>
      </c>
      <c r="H24" s="9">
        <v>3599</v>
      </c>
      <c r="I24" s="8">
        <v>1E-3</v>
      </c>
      <c r="J24" s="8">
        <v>1.25E-3</v>
      </c>
    </row>
    <row r="25" spans="1:10" x14ac:dyDescent="0.3">
      <c r="A25" s="6" t="s">
        <v>3</v>
      </c>
      <c r="B25" s="7">
        <v>2200033057</v>
      </c>
      <c r="C25" s="7">
        <v>45952</v>
      </c>
      <c r="D25" s="7">
        <v>45953</v>
      </c>
      <c r="E25" s="7">
        <v>1125081326</v>
      </c>
      <c r="F25" s="8" t="s">
        <v>13</v>
      </c>
      <c r="G25" s="9" t="s">
        <v>14</v>
      </c>
      <c r="H25" s="9">
        <v>3599</v>
      </c>
      <c r="I25" s="8">
        <v>5</v>
      </c>
      <c r="J25" s="8">
        <v>5.13</v>
      </c>
    </row>
    <row r="26" spans="1:10" x14ac:dyDescent="0.3">
      <c r="A26" s="6" t="s">
        <v>4</v>
      </c>
      <c r="B26" s="7">
        <v>2200033057</v>
      </c>
      <c r="C26" s="7">
        <v>45952</v>
      </c>
      <c r="D26" s="7">
        <v>45953</v>
      </c>
      <c r="E26" s="7">
        <v>1125081326</v>
      </c>
      <c r="F26" s="8" t="s">
        <v>13</v>
      </c>
      <c r="G26" s="9" t="s">
        <v>14</v>
      </c>
      <c r="H26" s="9">
        <v>3599</v>
      </c>
      <c r="I26" s="8">
        <v>1E-3</v>
      </c>
      <c r="J26" s="8">
        <v>1.25E-3</v>
      </c>
    </row>
    <row r="27" spans="1:10" x14ac:dyDescent="0.3">
      <c r="A27" s="6" t="s">
        <v>3</v>
      </c>
      <c r="B27" s="7">
        <v>2200033057</v>
      </c>
      <c r="C27" s="7">
        <v>45951</v>
      </c>
      <c r="D27" s="7">
        <v>45951</v>
      </c>
      <c r="E27" s="7">
        <v>1125081327</v>
      </c>
      <c r="F27" s="8" t="s">
        <v>13</v>
      </c>
      <c r="G27" s="9" t="s">
        <v>14</v>
      </c>
      <c r="H27" s="9">
        <v>3599</v>
      </c>
      <c r="I27" s="8">
        <v>5</v>
      </c>
      <c r="J27" s="8">
        <v>5.13</v>
      </c>
    </row>
    <row r="28" spans="1:10" x14ac:dyDescent="0.3">
      <c r="A28" s="6" t="s">
        <v>4</v>
      </c>
      <c r="B28" s="7">
        <v>2200033057</v>
      </c>
      <c r="C28" s="7">
        <v>45951</v>
      </c>
      <c r="D28" s="7">
        <v>45951</v>
      </c>
      <c r="E28" s="7">
        <v>1125081327</v>
      </c>
      <c r="F28" s="8" t="s">
        <v>13</v>
      </c>
      <c r="G28" s="9" t="s">
        <v>14</v>
      </c>
      <c r="H28" s="9">
        <v>3599</v>
      </c>
      <c r="I28" s="8">
        <v>1E-3</v>
      </c>
      <c r="J28" s="8">
        <v>1.25E-3</v>
      </c>
    </row>
    <row r="29" spans="1:10" x14ac:dyDescent="0.3">
      <c r="A29" s="6" t="s">
        <v>3</v>
      </c>
      <c r="B29" s="7">
        <v>2200033057</v>
      </c>
      <c r="C29" s="7">
        <v>45952</v>
      </c>
      <c r="D29" s="7">
        <v>45953</v>
      </c>
      <c r="E29" s="7">
        <v>1125081347</v>
      </c>
      <c r="F29" s="8" t="s">
        <v>13</v>
      </c>
      <c r="G29" s="9" t="s">
        <v>14</v>
      </c>
      <c r="H29" s="9">
        <v>3599</v>
      </c>
      <c r="I29" s="8">
        <v>5</v>
      </c>
      <c r="J29" s="8">
        <v>5.13</v>
      </c>
    </row>
    <row r="30" spans="1:10" x14ac:dyDescent="0.3">
      <c r="A30" s="6" t="s">
        <v>4</v>
      </c>
      <c r="B30" s="7">
        <v>2200033057</v>
      </c>
      <c r="C30" s="7">
        <v>45952</v>
      </c>
      <c r="D30" s="7">
        <v>45953</v>
      </c>
      <c r="E30" s="7">
        <v>1125081347</v>
      </c>
      <c r="F30" s="8" t="s">
        <v>13</v>
      </c>
      <c r="G30" s="9" t="s">
        <v>14</v>
      </c>
      <c r="H30" s="9">
        <v>3599</v>
      </c>
      <c r="I30" s="8">
        <v>1E-3</v>
      </c>
      <c r="J30" s="8">
        <v>1.25E-3</v>
      </c>
    </row>
    <row r="31" spans="1:10" x14ac:dyDescent="0.3">
      <c r="A31" s="6" t="s">
        <v>3</v>
      </c>
      <c r="B31" s="7">
        <v>2200033060</v>
      </c>
      <c r="C31" s="7">
        <v>45958</v>
      </c>
      <c r="D31" s="7">
        <v>45961</v>
      </c>
      <c r="E31" s="7">
        <v>1125081425</v>
      </c>
      <c r="F31" s="8" t="s">
        <v>13</v>
      </c>
      <c r="G31" s="9" t="s">
        <v>14</v>
      </c>
      <c r="H31" s="9">
        <v>3599</v>
      </c>
      <c r="I31" s="8">
        <v>5</v>
      </c>
      <c r="J31" s="8">
        <v>5.13</v>
      </c>
    </row>
    <row r="32" spans="1:10" x14ac:dyDescent="0.3">
      <c r="A32" s="6" t="s">
        <v>4</v>
      </c>
      <c r="B32" s="7">
        <v>2200033060</v>
      </c>
      <c r="C32" s="7">
        <v>45958</v>
      </c>
      <c r="D32" s="7">
        <v>45961</v>
      </c>
      <c r="E32" s="7">
        <v>1125081425</v>
      </c>
      <c r="F32" s="8" t="s">
        <v>13</v>
      </c>
      <c r="G32" s="9" t="s">
        <v>14</v>
      </c>
      <c r="H32" s="9">
        <v>3599</v>
      </c>
      <c r="I32" s="8">
        <v>1E-3</v>
      </c>
      <c r="J32" s="8">
        <v>1.25E-3</v>
      </c>
    </row>
    <row r="33" spans="1:10" x14ac:dyDescent="0.3">
      <c r="A33" s="6" t="s">
        <v>3</v>
      </c>
      <c r="B33" s="7">
        <v>2200033057</v>
      </c>
      <c r="C33" s="7">
        <v>45951</v>
      </c>
      <c r="D33" s="7">
        <v>45951</v>
      </c>
      <c r="E33" s="7">
        <v>1125082329</v>
      </c>
      <c r="F33" s="8" t="s">
        <v>13</v>
      </c>
      <c r="G33" s="9" t="s">
        <v>14</v>
      </c>
      <c r="H33" s="9">
        <v>3599</v>
      </c>
      <c r="I33" s="8">
        <v>5</v>
      </c>
      <c r="J33" s="8">
        <v>5.13</v>
      </c>
    </row>
    <row r="34" spans="1:10" x14ac:dyDescent="0.3">
      <c r="A34" s="6" t="s">
        <v>4</v>
      </c>
      <c r="B34" s="7">
        <v>2200033057</v>
      </c>
      <c r="C34" s="7">
        <v>45951</v>
      </c>
      <c r="D34" s="7">
        <v>45951</v>
      </c>
      <c r="E34" s="7">
        <v>1125082329</v>
      </c>
      <c r="F34" s="8" t="s">
        <v>13</v>
      </c>
      <c r="G34" s="9" t="s">
        <v>14</v>
      </c>
      <c r="H34" s="9">
        <v>3599</v>
      </c>
      <c r="I34" s="8">
        <v>1E-3</v>
      </c>
      <c r="J34" s="8">
        <v>1.25E-3</v>
      </c>
    </row>
    <row r="35" spans="1:10" x14ac:dyDescent="0.3">
      <c r="A35" s="6" t="s">
        <v>3</v>
      </c>
      <c r="B35" s="7">
        <v>2200033061</v>
      </c>
      <c r="C35" s="7">
        <v>45951</v>
      </c>
      <c r="D35" s="7">
        <v>45961</v>
      </c>
      <c r="E35" s="7">
        <v>1125082406</v>
      </c>
      <c r="F35" s="8" t="s">
        <v>13</v>
      </c>
      <c r="G35" s="9" t="s">
        <v>14</v>
      </c>
      <c r="H35" s="9">
        <v>3599</v>
      </c>
      <c r="I35" s="8">
        <v>5</v>
      </c>
      <c r="J35" s="8">
        <v>5.13</v>
      </c>
    </row>
    <row r="36" spans="1:10" x14ac:dyDescent="0.3">
      <c r="A36" s="6" t="s">
        <v>4</v>
      </c>
      <c r="B36" s="7">
        <v>2200033061</v>
      </c>
      <c r="C36" s="7">
        <v>45951</v>
      </c>
      <c r="D36" s="7">
        <v>45961</v>
      </c>
      <c r="E36" s="7">
        <v>1125082406</v>
      </c>
      <c r="F36" s="8" t="s">
        <v>13</v>
      </c>
      <c r="G36" s="9" t="s">
        <v>14</v>
      </c>
      <c r="H36" s="9">
        <v>3599</v>
      </c>
      <c r="I36" s="8">
        <v>1E-3</v>
      </c>
      <c r="J36" s="8">
        <v>1.25E-3</v>
      </c>
    </row>
    <row r="37" spans="1:10" x14ac:dyDescent="0.3">
      <c r="A37" s="6" t="s">
        <v>3</v>
      </c>
      <c r="B37" s="7">
        <v>2200033059</v>
      </c>
      <c r="C37" s="7">
        <v>45966</v>
      </c>
      <c r="D37" s="7">
        <v>45967</v>
      </c>
      <c r="E37" s="7">
        <v>1125082407</v>
      </c>
      <c r="F37" s="8" t="s">
        <v>13</v>
      </c>
      <c r="G37" s="9" t="s">
        <v>14</v>
      </c>
      <c r="H37" s="9">
        <v>3599</v>
      </c>
      <c r="I37" s="8">
        <v>5</v>
      </c>
      <c r="J37" s="8">
        <v>5.13</v>
      </c>
    </row>
    <row r="38" spans="1:10" x14ac:dyDescent="0.3">
      <c r="A38" s="6" t="s">
        <v>4</v>
      </c>
      <c r="B38" s="7">
        <v>2200033059</v>
      </c>
      <c r="C38" s="7">
        <v>45966</v>
      </c>
      <c r="D38" s="7">
        <v>45967</v>
      </c>
      <c r="E38" s="7">
        <v>1125082407</v>
      </c>
      <c r="F38" s="8" t="s">
        <v>13</v>
      </c>
      <c r="G38" s="9" t="s">
        <v>14</v>
      </c>
      <c r="H38" s="9">
        <v>3599</v>
      </c>
      <c r="I38" s="8">
        <v>1E-3</v>
      </c>
      <c r="J38" s="8">
        <v>1.25E-3</v>
      </c>
    </row>
    <row r="39" spans="1:10" x14ac:dyDescent="0.3">
      <c r="A39" s="6" t="s">
        <v>3</v>
      </c>
      <c r="B39" s="7">
        <v>2200033059</v>
      </c>
      <c r="C39" s="7">
        <v>45966</v>
      </c>
      <c r="D39" s="7">
        <v>45967</v>
      </c>
      <c r="E39" s="7">
        <v>1125082410</v>
      </c>
      <c r="F39" s="8" t="s">
        <v>13</v>
      </c>
      <c r="G39" s="9" t="s">
        <v>14</v>
      </c>
      <c r="H39" s="9">
        <v>3599</v>
      </c>
      <c r="I39" s="8">
        <v>5</v>
      </c>
      <c r="J39" s="8">
        <v>5.13</v>
      </c>
    </row>
    <row r="40" spans="1:10" x14ac:dyDescent="0.3">
      <c r="A40" s="6" t="s">
        <v>4</v>
      </c>
      <c r="B40" s="7">
        <v>2200033059</v>
      </c>
      <c r="C40" s="7">
        <v>45966</v>
      </c>
      <c r="D40" s="7">
        <v>45967</v>
      </c>
      <c r="E40" s="7">
        <v>1125082410</v>
      </c>
      <c r="F40" s="8" t="s">
        <v>13</v>
      </c>
      <c r="G40" s="9" t="s">
        <v>14</v>
      </c>
      <c r="H40" s="9">
        <v>3599</v>
      </c>
      <c r="I40" s="8">
        <v>1E-3</v>
      </c>
      <c r="J40" s="8">
        <v>1.25E-3</v>
      </c>
    </row>
    <row r="41" spans="1:10" x14ac:dyDescent="0.3">
      <c r="A41" s="6" t="s">
        <v>3</v>
      </c>
      <c r="B41" s="7">
        <v>2200033059</v>
      </c>
      <c r="C41" s="7">
        <v>45966</v>
      </c>
      <c r="D41" s="7">
        <v>45967</v>
      </c>
      <c r="E41" s="7">
        <v>1125082412</v>
      </c>
      <c r="F41" s="8" t="s">
        <v>13</v>
      </c>
      <c r="G41" s="9" t="s">
        <v>14</v>
      </c>
      <c r="H41" s="9">
        <v>3599</v>
      </c>
      <c r="I41" s="8">
        <v>5</v>
      </c>
      <c r="J41" s="8">
        <v>5.13</v>
      </c>
    </row>
    <row r="42" spans="1:10" x14ac:dyDescent="0.3">
      <c r="A42" s="6" t="s">
        <v>4</v>
      </c>
      <c r="B42" s="7">
        <v>2200033059</v>
      </c>
      <c r="C42" s="7">
        <v>45966</v>
      </c>
      <c r="D42" s="7">
        <v>45967</v>
      </c>
      <c r="E42" s="7">
        <v>1125082412</v>
      </c>
      <c r="F42" s="8" t="s">
        <v>13</v>
      </c>
      <c r="G42" s="9" t="s">
        <v>14</v>
      </c>
      <c r="H42" s="9">
        <v>3599</v>
      </c>
      <c r="I42" s="8">
        <v>1E-3</v>
      </c>
      <c r="J42" s="8">
        <v>1.25E-3</v>
      </c>
    </row>
    <row r="43" spans="1:10" x14ac:dyDescent="0.3">
      <c r="A43" s="6" t="s">
        <v>3</v>
      </c>
      <c r="B43" s="7">
        <v>2200033061</v>
      </c>
      <c r="C43" s="7">
        <v>45951</v>
      </c>
      <c r="D43" s="7">
        <v>45961</v>
      </c>
      <c r="E43" s="7">
        <v>1125082416</v>
      </c>
      <c r="F43" s="8" t="s">
        <v>13</v>
      </c>
      <c r="G43" s="9" t="s">
        <v>14</v>
      </c>
      <c r="H43" s="9">
        <v>3599</v>
      </c>
      <c r="I43" s="8">
        <v>5</v>
      </c>
      <c r="J43" s="8">
        <v>5.13</v>
      </c>
    </row>
    <row r="44" spans="1:10" x14ac:dyDescent="0.3">
      <c r="A44" s="6" t="s">
        <v>4</v>
      </c>
      <c r="B44" s="7">
        <v>2200033061</v>
      </c>
      <c r="C44" s="7">
        <v>45951</v>
      </c>
      <c r="D44" s="7">
        <v>45961</v>
      </c>
      <c r="E44" s="7">
        <v>1125082416</v>
      </c>
      <c r="F44" s="8" t="s">
        <v>13</v>
      </c>
      <c r="G44" s="9" t="s">
        <v>14</v>
      </c>
      <c r="H44" s="9">
        <v>3599</v>
      </c>
      <c r="I44" s="8">
        <v>1E-3</v>
      </c>
      <c r="J44" s="8">
        <v>1.25E-3</v>
      </c>
    </row>
    <row r="45" spans="1:10" x14ac:dyDescent="0.3">
      <c r="A45" s="6" t="s">
        <v>3</v>
      </c>
      <c r="B45" s="7">
        <v>2200033059</v>
      </c>
      <c r="C45" s="7">
        <v>45966</v>
      </c>
      <c r="D45" s="7">
        <v>45967</v>
      </c>
      <c r="E45" s="7">
        <v>1125082418</v>
      </c>
      <c r="F45" s="8" t="s">
        <v>13</v>
      </c>
      <c r="G45" s="9" t="s">
        <v>14</v>
      </c>
      <c r="H45" s="9">
        <v>3599</v>
      </c>
      <c r="I45" s="8">
        <v>5</v>
      </c>
      <c r="J45" s="8">
        <v>5.13</v>
      </c>
    </row>
    <row r="46" spans="1:10" x14ac:dyDescent="0.3">
      <c r="A46" s="6" t="s">
        <v>4</v>
      </c>
      <c r="B46" s="7">
        <v>2200033059</v>
      </c>
      <c r="C46" s="7">
        <v>45966</v>
      </c>
      <c r="D46" s="7">
        <v>45967</v>
      </c>
      <c r="E46" s="7">
        <v>1125082418</v>
      </c>
      <c r="F46" s="8" t="s">
        <v>13</v>
      </c>
      <c r="G46" s="9" t="s">
        <v>14</v>
      </c>
      <c r="H46" s="9">
        <v>3599</v>
      </c>
      <c r="I46" s="8">
        <v>1E-3</v>
      </c>
      <c r="J46" s="8">
        <v>1.25E-3</v>
      </c>
    </row>
    <row r="47" spans="1:10" x14ac:dyDescent="0.3">
      <c r="A47" s="6" t="s">
        <v>3</v>
      </c>
      <c r="B47" s="7">
        <v>2200033059</v>
      </c>
      <c r="C47" s="7">
        <v>45966</v>
      </c>
      <c r="D47" s="7">
        <v>45967</v>
      </c>
      <c r="E47" s="7">
        <v>1125082421</v>
      </c>
      <c r="F47" s="8" t="s">
        <v>13</v>
      </c>
      <c r="G47" s="9" t="s">
        <v>14</v>
      </c>
      <c r="H47" s="9">
        <v>3599</v>
      </c>
      <c r="I47" s="8">
        <v>5</v>
      </c>
      <c r="J47" s="8">
        <v>5.13</v>
      </c>
    </row>
    <row r="48" spans="1:10" x14ac:dyDescent="0.3">
      <c r="A48" s="6" t="s">
        <v>4</v>
      </c>
      <c r="B48" s="7">
        <v>2200033059</v>
      </c>
      <c r="C48" s="7">
        <v>45966</v>
      </c>
      <c r="D48" s="7">
        <v>45967</v>
      </c>
      <c r="E48" s="7">
        <v>1125082421</v>
      </c>
      <c r="F48" s="8" t="s">
        <v>13</v>
      </c>
      <c r="G48" s="9" t="s">
        <v>14</v>
      </c>
      <c r="H48" s="9">
        <v>3599</v>
      </c>
      <c r="I48" s="8">
        <v>1E-3</v>
      </c>
      <c r="J48" s="8">
        <v>1.25E-3</v>
      </c>
    </row>
    <row r="49" spans="1:10" x14ac:dyDescent="0.3">
      <c r="A49" s="6" t="s">
        <v>3</v>
      </c>
      <c r="B49" s="7">
        <v>2200033059</v>
      </c>
      <c r="C49" s="7">
        <v>45966</v>
      </c>
      <c r="D49" s="7">
        <v>45967</v>
      </c>
      <c r="E49" s="7">
        <v>1125082424</v>
      </c>
      <c r="F49" s="8" t="s">
        <v>13</v>
      </c>
      <c r="G49" s="9" t="s">
        <v>14</v>
      </c>
      <c r="H49" s="9">
        <v>3599</v>
      </c>
      <c r="I49" s="8">
        <v>5</v>
      </c>
      <c r="J49" s="8">
        <v>5.13</v>
      </c>
    </row>
    <row r="50" spans="1:10" x14ac:dyDescent="0.3">
      <c r="A50" s="6" t="s">
        <v>4</v>
      </c>
      <c r="B50" s="7">
        <v>2200033059</v>
      </c>
      <c r="C50" s="7">
        <v>45966</v>
      </c>
      <c r="D50" s="7">
        <v>45967</v>
      </c>
      <c r="E50" s="7">
        <v>1125082424</v>
      </c>
      <c r="F50" s="8" t="s">
        <v>13</v>
      </c>
      <c r="G50" s="9" t="s">
        <v>14</v>
      </c>
      <c r="H50" s="9">
        <v>3599</v>
      </c>
      <c r="I50" s="8">
        <v>1E-3</v>
      </c>
      <c r="J50" s="8">
        <v>1.25E-3</v>
      </c>
    </row>
    <row r="51" spans="1:10" x14ac:dyDescent="0.3">
      <c r="A51" s="6" t="s">
        <v>3</v>
      </c>
      <c r="B51" s="7">
        <v>2200033058</v>
      </c>
      <c r="C51" s="7">
        <v>45953</v>
      </c>
      <c r="D51" s="7">
        <v>45953</v>
      </c>
      <c r="E51" s="7">
        <v>1125082431</v>
      </c>
      <c r="F51" s="8" t="s">
        <v>13</v>
      </c>
      <c r="G51" s="9" t="s">
        <v>14</v>
      </c>
      <c r="H51" s="9">
        <v>3599</v>
      </c>
      <c r="I51" s="8">
        <v>5</v>
      </c>
      <c r="J51" s="8">
        <v>5.13</v>
      </c>
    </row>
    <row r="52" spans="1:10" x14ac:dyDescent="0.3">
      <c r="A52" s="6" t="s">
        <v>4</v>
      </c>
      <c r="B52" s="7">
        <v>2200033058</v>
      </c>
      <c r="C52" s="7">
        <v>45953</v>
      </c>
      <c r="D52" s="7">
        <v>45953</v>
      </c>
      <c r="E52" s="7">
        <v>1125082431</v>
      </c>
      <c r="F52" s="8" t="s">
        <v>13</v>
      </c>
      <c r="G52" s="9" t="s">
        <v>14</v>
      </c>
      <c r="H52" s="9">
        <v>3599</v>
      </c>
      <c r="I52" s="8">
        <v>1E-3</v>
      </c>
      <c r="J52" s="8">
        <v>1.25E-3</v>
      </c>
    </row>
    <row r="53" spans="1:10" x14ac:dyDescent="0.3">
      <c r="A53" s="6" t="s">
        <v>3</v>
      </c>
      <c r="B53" s="7">
        <v>2200033060</v>
      </c>
      <c r="C53" s="7">
        <v>45958</v>
      </c>
      <c r="D53" s="7">
        <v>45961</v>
      </c>
      <c r="E53" s="7">
        <v>1125082438</v>
      </c>
      <c r="F53" s="8" t="s">
        <v>13</v>
      </c>
      <c r="G53" s="9" t="s">
        <v>14</v>
      </c>
      <c r="H53" s="9">
        <v>3599</v>
      </c>
      <c r="I53" s="8">
        <v>5</v>
      </c>
      <c r="J53" s="8">
        <v>5.13</v>
      </c>
    </row>
    <row r="54" spans="1:10" x14ac:dyDescent="0.3">
      <c r="A54" s="6" t="s">
        <v>4</v>
      </c>
      <c r="B54" s="7">
        <v>2200033060</v>
      </c>
      <c r="C54" s="7">
        <v>45958</v>
      </c>
      <c r="D54" s="7">
        <v>45961</v>
      </c>
      <c r="E54" s="7">
        <v>1125082438</v>
      </c>
      <c r="F54" s="8" t="s">
        <v>13</v>
      </c>
      <c r="G54" s="9" t="s">
        <v>14</v>
      </c>
      <c r="H54" s="9">
        <v>3599</v>
      </c>
      <c r="I54" s="8">
        <v>1E-3</v>
      </c>
      <c r="J54" s="8">
        <v>1.25E-3</v>
      </c>
    </row>
    <row r="55" spans="1:10" x14ac:dyDescent="0.3">
      <c r="A55" s="6" t="s">
        <v>3</v>
      </c>
      <c r="B55" s="7">
        <v>2200033061</v>
      </c>
      <c r="C55" s="7">
        <v>45951</v>
      </c>
      <c r="D55" s="7">
        <v>45961</v>
      </c>
      <c r="E55" s="7">
        <v>1125082449</v>
      </c>
      <c r="F55" s="8" t="s">
        <v>13</v>
      </c>
      <c r="G55" s="9" t="s">
        <v>14</v>
      </c>
      <c r="H55" s="9">
        <v>3599</v>
      </c>
      <c r="I55" s="8">
        <v>5</v>
      </c>
      <c r="J55" s="8">
        <v>5.13</v>
      </c>
    </row>
    <row r="56" spans="1:10" x14ac:dyDescent="0.3">
      <c r="A56" s="6" t="s">
        <v>4</v>
      </c>
      <c r="B56" s="7">
        <v>2200033061</v>
      </c>
      <c r="C56" s="7">
        <v>45951</v>
      </c>
      <c r="D56" s="7">
        <v>45961</v>
      </c>
      <c r="E56" s="7">
        <v>1125082449</v>
      </c>
      <c r="F56" s="8" t="s">
        <v>13</v>
      </c>
      <c r="G56" s="9" t="s">
        <v>14</v>
      </c>
      <c r="H56" s="9">
        <v>3599</v>
      </c>
      <c r="I56" s="8">
        <v>1E-3</v>
      </c>
      <c r="J56" s="8">
        <v>1.25E-3</v>
      </c>
    </row>
    <row r="57" spans="1:10" x14ac:dyDescent="0.3">
      <c r="A57" s="6" t="s">
        <v>3</v>
      </c>
      <c r="B57" s="7">
        <v>2200033061</v>
      </c>
      <c r="C57" s="7">
        <v>45951</v>
      </c>
      <c r="D57" s="7">
        <v>45961</v>
      </c>
      <c r="E57" s="7">
        <v>1125082610</v>
      </c>
      <c r="F57" s="8" t="s">
        <v>13</v>
      </c>
      <c r="G57" s="9" t="s">
        <v>14</v>
      </c>
      <c r="H57" s="9">
        <v>3599</v>
      </c>
      <c r="I57" s="8">
        <v>5</v>
      </c>
      <c r="J57" s="8">
        <v>5.13</v>
      </c>
    </row>
    <row r="58" spans="1:10" x14ac:dyDescent="0.3">
      <c r="A58" s="10" t="s">
        <v>4</v>
      </c>
      <c r="B58" s="11">
        <v>2200033061</v>
      </c>
      <c r="C58" s="11">
        <v>45951</v>
      </c>
      <c r="D58" s="11">
        <v>45961</v>
      </c>
      <c r="E58" s="11">
        <v>1125082610</v>
      </c>
      <c r="F58" s="12" t="s">
        <v>13</v>
      </c>
      <c r="G58" s="13" t="s">
        <v>14</v>
      </c>
      <c r="H58" s="9">
        <v>3599</v>
      </c>
      <c r="I58" s="12">
        <v>1E-3</v>
      </c>
      <c r="J58" s="12">
        <v>1.25E-3</v>
      </c>
    </row>
    <row r="59" spans="1:10" x14ac:dyDescent="0.3">
      <c r="A59" s="15"/>
      <c r="B59" s="16"/>
      <c r="C59" s="16"/>
      <c r="D59" s="16"/>
      <c r="E59" s="16"/>
      <c r="F59" s="17"/>
      <c r="G59" s="18"/>
      <c r="H59" s="18"/>
      <c r="I59" s="17">
        <f>SUM(표1[Balance])</f>
        <v>110.02200000000003</v>
      </c>
      <c r="J59" s="19">
        <f>SUM(표1[GW])</f>
        <v>112.88749999999995</v>
      </c>
    </row>
  </sheetData>
  <phoneticPr fontId="5" type="noConversion"/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6A83-2E01-4310-ADBC-184B48D8EB00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MIC9000 110MT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 Kyung Lee</dc:creator>
  <cp:lastModifiedBy>Kidong Nam</cp:lastModifiedBy>
  <dcterms:created xsi:type="dcterms:W3CDTF">2026-03-18T08:54:09Z</dcterms:created>
  <dcterms:modified xsi:type="dcterms:W3CDTF">2026-03-28T01:22:39Z</dcterms:modified>
</cp:coreProperties>
</file>