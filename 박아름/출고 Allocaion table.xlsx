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프로그램\Sqm\"/>
    </mc:Choice>
  </mc:AlternateContent>
  <xr:revisionPtr revIDLastSave="0" documentId="8_{04FE0914-7583-4118-9B0A-6E27185FDBEE}" xr6:coauthVersionLast="47" xr6:coauthVersionMax="47" xr10:uidLastSave="{00000000-0000-0000-0000-000000000000}"/>
  <bookViews>
    <workbookView xWindow="735" yWindow="735" windowWidth="38610" windowHeight="19020" xr2:uid="{D969D984-08FF-47CA-856C-420D688950C8}"/>
  </bookViews>
  <sheets>
    <sheet name="Sheet2 (3)" sheetId="1" r:id="rId1"/>
  </sheets>
  <definedNames>
    <definedName name="_xlnm._FilterDatabase" localSheetId="0" hidden="1">'Sheet2 (3)'!$A$3:$K$184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4" i="1" l="1"/>
  <c r="N55" i="1"/>
  <c r="N56" i="1" s="1"/>
  <c r="P26" i="1"/>
  <c r="N26" i="1"/>
  <c r="K2" i="1"/>
  <c r="D2" i="1"/>
  <c r="O55" i="1" l="1"/>
</calcChain>
</file>

<file path=xl/sharedStrings.xml><?xml version="1.0" encoding="utf-8"?>
<sst xmlns="http://schemas.openxmlformats.org/spreadsheetml/2006/main" count="923" uniqueCount="24">
  <si>
    <t>Allocation - LBM AP 450MT of MIC9000 /Q4 2025 2nd order</t>
  </si>
  <si>
    <t>Product</t>
  </si>
  <si>
    <t>SAP NO</t>
  </si>
  <si>
    <t>Date in stock</t>
  </si>
  <si>
    <t>QTY (MT)</t>
  </si>
  <si>
    <t>Lot No</t>
  </si>
  <si>
    <t>WH</t>
  </si>
  <si>
    <t>Customs</t>
  </si>
  <si>
    <t xml:space="preserve">Export </t>
  </si>
  <si>
    <t>SOLD TO</t>
  </si>
  <si>
    <t>SALE REF</t>
  </si>
  <si>
    <t>GW</t>
  </si>
  <si>
    <t>합계 : QTY (MT)</t>
  </si>
  <si>
    <t>합계 : GW</t>
  </si>
  <si>
    <t>MIC9000</t>
  </si>
  <si>
    <t>GY</t>
  </si>
  <si>
    <t>Uncleared</t>
  </si>
  <si>
    <t>반송</t>
  </si>
  <si>
    <t>LBM AP - Q4 2025 2nd 450MT</t>
  </si>
  <si>
    <t>반송 요약</t>
  </si>
  <si>
    <t>분할/반송</t>
  </si>
  <si>
    <t>분할/반송 요약</t>
  </si>
  <si>
    <t>총합계</t>
  </si>
  <si>
    <t>MIC9000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</si>
</sst>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00"/>
    <numFmt numFmtId="177" formatCode="_-[$€]\ * #,##0.00_-;\-[$€]\ * #,##0.00_-;_-[$€]\ * &quot;-&quot;??_-;_-@_-"/>
    <numFmt numFmtId="178" formatCode="_ * #,##0.00_ ;_ * \-#,##0.00_ ;_ * &quot;-&quot;??_ ;_ @_ "/>
    <numFmt numFmtId="179" formatCode="_(* #,##0.000000_);_(* \(#,##0.000000\);_(* &quot;-&quot;??_);_(@_)"/>
    <numFmt numFmtId="180" formatCode="_-&quot;₩&quot;* #,##0.00000_-;\-&quot;₩&quot;* #,##0.00000_-;_-&quot;₩&quot;* &quot;-&quot;??_-;_-@_-"/>
    <numFmt numFmtId="181" formatCode="0.000000000"/>
  </numFmts>
  <fonts count="7" x14ac:knownFonts="1">
    <font>
      <sz val="11"/>
      <color theme="1"/>
      <name val="맑은 고딕"/>
      <family val="2"/>
      <scheme val="minor"/>
    </font>
    <font>
      <b/>
      <sz val="14"/>
      <color rgb="FFFF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33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4" fillId="0" borderId="3" xfId="1" applyNumberFormat="1" applyFont="1" applyFill="1" applyBorder="1" applyAlignment="1">
      <alignment horizontal="center" vertical="center"/>
    </xf>
    <xf numFmtId="14" fontId="4" fillId="0" borderId="3" xfId="1" applyNumberFormat="1" applyFont="1" applyFill="1" applyBorder="1" applyAlignment="1">
      <alignment horizontal="center" vertical="center" wrapText="1"/>
    </xf>
    <xf numFmtId="178" fontId="4" fillId="0" borderId="3" xfId="1" applyNumberFormat="1" applyFont="1" applyFill="1" applyBorder="1" applyAlignment="1">
      <alignment horizontal="center" vertical="center"/>
    </xf>
    <xf numFmtId="1" fontId="4" fillId="0" borderId="3" xfId="1" applyNumberFormat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16" fontId="4" fillId="0" borderId="3" xfId="1" applyNumberFormat="1" applyFont="1" applyFill="1" applyBorder="1" applyAlignment="1">
      <alignment horizontal="center" vertical="center"/>
    </xf>
    <xf numFmtId="179" fontId="4" fillId="0" borderId="3" xfId="1" applyNumberFormat="1" applyFont="1" applyFill="1" applyBorder="1" applyAlignment="1">
      <alignment horizontal="center" vertical="center"/>
    </xf>
    <xf numFmtId="179" fontId="4" fillId="0" borderId="0" xfId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79" fontId="6" fillId="0" borderId="5" xfId="0" applyNumberFormat="1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179" fontId="6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요약" xfId="1" builtinId="25"/>
    <cellStyle name="표준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9" formatCode="_(* #,##0.000000_);_(* \(#,##0.000000\);_(* &quot;-&quot;??_);_(@_)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82" formatCode="m/d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44B3E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81ef9dd50483493/&#47928;&#49436;/&#52852;&#52852;&#50724;&#53665;%20&#48155;&#51008;%20&#54028;&#51068;/Allocation%20-%20LBM%20AP%20450MT%20of%20MIC9000%20(1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yun Chae Woo" refreshedDate="46049.740870254631" createdVersion="8" refreshedVersion="8" minRefreshableVersion="3" recordCount="180" xr:uid="{8ADDB887-0AC1-4325-91F6-D06629FF3B17}">
  <cacheSource type="worksheet">
    <worksheetSource name="표1" r:id="rId2"/>
  </cacheSource>
  <cacheFields count="11">
    <cacheField name="Product" numFmtId="0">
      <sharedItems count="2">
        <s v="MIC9000"/>
        <s v="MIC9000 Sample"/>
      </sharedItems>
    </cacheField>
    <cacheField name="SAP NO" numFmtId="0">
      <sharedItems containsSemiMixedTypes="0" containsString="0" containsNumber="1" containsInteger="1" minValue="2200032681" maxValue="2200032991" count="10">
        <n v="2200032833"/>
        <n v="2200032685"/>
        <n v="2200032684"/>
        <n v="2200032900"/>
        <n v="2200032901"/>
        <n v="2200032902"/>
        <n v="2200032713" u="1"/>
        <n v="2200032991" u="1"/>
        <n v="2200032712" u="1"/>
        <n v="2200032681" u="1"/>
      </sharedItems>
    </cacheField>
    <cacheField name="Date in stock" numFmtId="14">
      <sharedItems containsSemiMixedTypes="0" containsNonDate="0" containsDate="1" containsString="0" minDate="2025-09-18T00:00:00" maxDate="2025-10-14T00:00:00"/>
    </cacheField>
    <cacheField name="QTY (MT)" numFmtId="0">
      <sharedItems containsSemiMixedTypes="0" containsString="0" containsNumber="1" minValue="1E-3" maxValue="5"/>
    </cacheField>
    <cacheField name="Lot No" numFmtId="0">
      <sharedItems containsSemiMixedTypes="0" containsString="0" containsNumber="1" containsInteger="1" minValue="1125072227" maxValue="1125080534" count="90">
        <n v="1125072340"/>
        <n v="1125072341"/>
        <n v="1125072342"/>
        <n v="1125072343"/>
        <n v="1125072405"/>
        <n v="1125072406"/>
        <n v="1125072407"/>
        <n v="1125072408"/>
        <n v="1125072409"/>
        <n v="1125072410"/>
        <n v="1125072411"/>
        <n v="1125072412"/>
        <n v="1125072334"/>
        <n v="1125072335"/>
        <n v="1125072403"/>
        <n v="1125072404"/>
        <n v="1125072413"/>
        <n v="1125072414"/>
        <n v="1125072227"/>
        <n v="1125072228"/>
        <n v="1125072239"/>
        <n v="1125072240"/>
        <n v="1125072241"/>
        <n v="1125072242"/>
        <n v="1125072243"/>
        <n v="1125072244"/>
        <n v="1125072245"/>
        <n v="1125072246"/>
        <n v="1125072247"/>
        <n v="1125072249"/>
        <n v="1125072250"/>
        <n v="1125072251"/>
        <n v="1125072252"/>
        <n v="1125072254"/>
        <n v="1125072256"/>
        <n v="1125072301"/>
        <n v="1125072302"/>
        <n v="1125072303"/>
        <n v="1125072311"/>
        <n v="1125072312"/>
        <n v="1125072248"/>
        <n v="1125072253"/>
        <n v="1125072255"/>
        <n v="1125072257"/>
        <n v="1125072313"/>
        <n v="1125072314"/>
        <n v="1125072315"/>
        <n v="1125072316"/>
        <n v="1125072317"/>
        <n v="1125072318"/>
        <n v="1125072322"/>
        <n v="1125072323"/>
        <n v="1125072613"/>
        <n v="1125072622"/>
        <n v="1125072623"/>
        <n v="1125072745"/>
        <n v="1125072746"/>
        <n v="1125072747"/>
        <n v="1125072752"/>
        <n v="1125072803"/>
        <n v="1125072624"/>
        <n v="1125072625"/>
        <n v="1125072628"/>
        <n v="1125072629"/>
        <n v="1125072638"/>
        <n v="1125072639"/>
        <n v="1125072640"/>
        <n v="1125072641"/>
        <n v="1125072643"/>
        <n v="1125072644"/>
        <n v="1125072939"/>
        <n v="1125072940"/>
        <n v="1125072941"/>
        <n v="1125072942"/>
        <n v="1125073013"/>
        <n v="1125073014"/>
        <n v="1125073015"/>
        <n v="1125073022"/>
        <n v="1125073025"/>
        <n v="1125072645"/>
        <n v="1125072646"/>
        <n v="1125072728"/>
        <n v="1125072804"/>
        <n v="1125072805"/>
        <n v="1125072806"/>
        <n v="1125080526"/>
        <n v="1125080527"/>
        <n v="1125080528"/>
        <n v="1125080530"/>
        <n v="1125080534"/>
      </sharedItems>
    </cacheField>
    <cacheField name="WH" numFmtId="0">
      <sharedItems/>
    </cacheField>
    <cacheField name="Customs" numFmtId="0">
      <sharedItems/>
    </cacheField>
    <cacheField name="Export " numFmtId="0">
      <sharedItems containsBlank="1" count="5">
        <s v="반송"/>
        <s v="분할/반송"/>
        <s v="반송수출" u="1"/>
        <m u="1"/>
        <s v="분할 / 반송" u="1"/>
      </sharedItems>
    </cacheField>
    <cacheField name="SOLD TO" numFmtId="0">
      <sharedItems/>
    </cacheField>
    <cacheField name="SALE REF" numFmtId="0">
      <sharedItems containsSemiMixedTypes="0" containsString="0" containsNumber="1" containsInteger="1" minValue="2929" maxValue="2929"/>
    </cacheField>
    <cacheField name="GW" numFmtId="179">
      <sharedItems containsSemiMixedTypes="0" containsString="0" containsNumber="1" minValue="1.25E-3" maxValue="5.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x v="0"/>
    <d v="2025-09-18T00:00:00"/>
    <n v="5"/>
    <x v="0"/>
    <s v="GY"/>
    <s v="Uncleared"/>
    <x v="0"/>
    <s v="LBM AP - Q4 2025 2nd 450MT"/>
    <n v="2929"/>
    <n v="5.13"/>
  </r>
  <r>
    <x v="0"/>
    <x v="0"/>
    <d v="2025-09-18T00:00:00"/>
    <n v="5"/>
    <x v="1"/>
    <s v="GY"/>
    <s v="Uncleared"/>
    <x v="0"/>
    <s v="LBM AP - Q4 2025 2nd 450MT"/>
    <n v="2929"/>
    <n v="5.13"/>
  </r>
  <r>
    <x v="0"/>
    <x v="0"/>
    <d v="2025-09-18T00:00:00"/>
    <n v="5"/>
    <x v="2"/>
    <s v="GY"/>
    <s v="Uncleared"/>
    <x v="0"/>
    <s v="LBM AP - Q4 2025 2nd 450MT"/>
    <n v="2929"/>
    <n v="5.13"/>
  </r>
  <r>
    <x v="0"/>
    <x v="0"/>
    <d v="2025-09-18T00:00:00"/>
    <n v="5"/>
    <x v="3"/>
    <s v="GY"/>
    <s v="Uncleared"/>
    <x v="0"/>
    <s v="LBM AP - Q4 2025 2nd 450MT"/>
    <n v="2929"/>
    <n v="5.13"/>
  </r>
  <r>
    <x v="0"/>
    <x v="0"/>
    <d v="2025-09-18T00:00:00"/>
    <n v="5"/>
    <x v="4"/>
    <s v="GY"/>
    <s v="Uncleared"/>
    <x v="0"/>
    <s v="LBM AP - Q4 2025 2nd 450MT"/>
    <n v="2929"/>
    <n v="5.13"/>
  </r>
  <r>
    <x v="0"/>
    <x v="0"/>
    <d v="2025-09-18T00:00:00"/>
    <n v="5"/>
    <x v="5"/>
    <s v="GY"/>
    <s v="Uncleared"/>
    <x v="0"/>
    <s v="LBM AP - Q4 2025 2nd 450MT"/>
    <n v="2929"/>
    <n v="5.13"/>
  </r>
  <r>
    <x v="0"/>
    <x v="0"/>
    <d v="2025-09-18T00:00:00"/>
    <n v="5"/>
    <x v="6"/>
    <s v="GY"/>
    <s v="Uncleared"/>
    <x v="0"/>
    <s v="LBM AP - Q4 2025 2nd 450MT"/>
    <n v="2929"/>
    <n v="5.13"/>
  </r>
  <r>
    <x v="0"/>
    <x v="0"/>
    <d v="2025-09-18T00:00:00"/>
    <n v="5"/>
    <x v="7"/>
    <s v="GY"/>
    <s v="Uncleared"/>
    <x v="0"/>
    <s v="LBM AP - Q4 2025 2nd 450MT"/>
    <n v="2929"/>
    <n v="5.13"/>
  </r>
  <r>
    <x v="0"/>
    <x v="0"/>
    <d v="2025-09-18T00:00:00"/>
    <n v="5"/>
    <x v="8"/>
    <s v="GY"/>
    <s v="Uncleared"/>
    <x v="0"/>
    <s v="LBM AP - Q4 2025 2nd 450MT"/>
    <n v="2929"/>
    <n v="5.13"/>
  </r>
  <r>
    <x v="0"/>
    <x v="0"/>
    <d v="2025-09-18T00:00:00"/>
    <n v="5"/>
    <x v="9"/>
    <s v="GY"/>
    <s v="Uncleared"/>
    <x v="0"/>
    <s v="LBM AP - Q4 2025 2nd 450MT"/>
    <n v="2929"/>
    <n v="5.13"/>
  </r>
  <r>
    <x v="0"/>
    <x v="0"/>
    <d v="2025-09-18T00:00:00"/>
    <n v="5"/>
    <x v="10"/>
    <s v="GY"/>
    <s v="Uncleared"/>
    <x v="0"/>
    <s v="LBM AP - Q4 2025 2nd 450MT"/>
    <n v="2929"/>
    <n v="5.13"/>
  </r>
  <r>
    <x v="0"/>
    <x v="0"/>
    <d v="2025-09-18T00:00:00"/>
    <n v="5"/>
    <x v="11"/>
    <s v="GY"/>
    <s v="Uncleared"/>
    <x v="0"/>
    <s v="LBM AP - Q4 2025 2nd 450MT"/>
    <n v="2929"/>
    <n v="5.13"/>
  </r>
  <r>
    <x v="1"/>
    <x v="0"/>
    <d v="2025-09-18T00:00:00"/>
    <n v="1E-3"/>
    <x v="0"/>
    <s v="GY"/>
    <s v="Uncleared"/>
    <x v="0"/>
    <s v="LBM AP - Q4 2025 2nd 450MT"/>
    <n v="2929"/>
    <n v="1.25E-3"/>
  </r>
  <r>
    <x v="1"/>
    <x v="0"/>
    <d v="2025-09-18T00:00:00"/>
    <n v="1E-3"/>
    <x v="1"/>
    <s v="GY"/>
    <s v="Uncleared"/>
    <x v="0"/>
    <s v="LBM AP - Q4 2025 2nd 450MT"/>
    <n v="2929"/>
    <n v="1.25E-3"/>
  </r>
  <r>
    <x v="1"/>
    <x v="0"/>
    <d v="2025-09-18T00:00:00"/>
    <n v="1E-3"/>
    <x v="2"/>
    <s v="GY"/>
    <s v="Uncleared"/>
    <x v="0"/>
    <s v="LBM AP - Q4 2025 2nd 450MT"/>
    <n v="2929"/>
    <n v="1.25E-3"/>
  </r>
  <r>
    <x v="1"/>
    <x v="0"/>
    <d v="2025-09-18T00:00:00"/>
    <n v="1E-3"/>
    <x v="3"/>
    <s v="GY"/>
    <s v="Uncleared"/>
    <x v="0"/>
    <s v="LBM AP - Q4 2025 2nd 450MT"/>
    <n v="2929"/>
    <n v="1.25E-3"/>
  </r>
  <r>
    <x v="1"/>
    <x v="0"/>
    <d v="2025-09-18T00:00:00"/>
    <n v="1E-3"/>
    <x v="4"/>
    <s v="GY"/>
    <s v="Uncleared"/>
    <x v="0"/>
    <s v="LBM AP - Q4 2025 2nd 450MT"/>
    <n v="2929"/>
    <n v="1.25E-3"/>
  </r>
  <r>
    <x v="1"/>
    <x v="0"/>
    <d v="2025-09-18T00:00:00"/>
    <n v="1E-3"/>
    <x v="5"/>
    <s v="GY"/>
    <s v="Uncleared"/>
    <x v="0"/>
    <s v="LBM AP - Q4 2025 2nd 450MT"/>
    <n v="2929"/>
    <n v="1.25E-3"/>
  </r>
  <r>
    <x v="1"/>
    <x v="0"/>
    <d v="2025-09-18T00:00:00"/>
    <n v="1E-3"/>
    <x v="6"/>
    <s v="GY"/>
    <s v="Uncleared"/>
    <x v="0"/>
    <s v="LBM AP - Q4 2025 2nd 450MT"/>
    <n v="2929"/>
    <n v="1.25E-3"/>
  </r>
  <r>
    <x v="1"/>
    <x v="0"/>
    <d v="2025-09-18T00:00:00"/>
    <n v="1E-3"/>
    <x v="7"/>
    <s v="GY"/>
    <s v="Uncleared"/>
    <x v="0"/>
    <s v="LBM AP - Q4 2025 2nd 450MT"/>
    <n v="2929"/>
    <n v="1.25E-3"/>
  </r>
  <r>
    <x v="1"/>
    <x v="0"/>
    <d v="2025-09-18T00:00:00"/>
    <n v="1E-3"/>
    <x v="8"/>
    <s v="GY"/>
    <s v="Uncleared"/>
    <x v="0"/>
    <s v="LBM AP - Q4 2025 2nd 450MT"/>
    <n v="2929"/>
    <n v="1.25E-3"/>
  </r>
  <r>
    <x v="1"/>
    <x v="0"/>
    <d v="2025-09-18T00:00:00"/>
    <n v="1E-3"/>
    <x v="9"/>
    <s v="GY"/>
    <s v="Uncleared"/>
    <x v="0"/>
    <s v="LBM AP - Q4 2025 2nd 450MT"/>
    <n v="2929"/>
    <n v="1.25E-3"/>
  </r>
  <r>
    <x v="1"/>
    <x v="0"/>
    <d v="2025-09-18T00:00:00"/>
    <n v="1E-3"/>
    <x v="10"/>
    <s v="GY"/>
    <s v="Uncleared"/>
    <x v="0"/>
    <s v="LBM AP - Q4 2025 2nd 450MT"/>
    <n v="2929"/>
    <n v="1.25E-3"/>
  </r>
  <r>
    <x v="1"/>
    <x v="0"/>
    <d v="2025-09-18T00:00:00"/>
    <n v="1E-3"/>
    <x v="11"/>
    <s v="GY"/>
    <s v="Uncleared"/>
    <x v="0"/>
    <s v="LBM AP - Q4 2025 2nd 450MT"/>
    <n v="2929"/>
    <n v="1.25E-3"/>
  </r>
  <r>
    <x v="0"/>
    <x v="0"/>
    <d v="2025-09-19T00:00:00"/>
    <n v="5"/>
    <x v="12"/>
    <s v="GY"/>
    <s v="Uncleared"/>
    <x v="0"/>
    <s v="LBM AP - Q4 2025 2nd 450MT"/>
    <n v="2929"/>
    <n v="5.13"/>
  </r>
  <r>
    <x v="0"/>
    <x v="0"/>
    <d v="2025-09-19T00:00:00"/>
    <n v="5"/>
    <x v="13"/>
    <s v="GY"/>
    <s v="Uncleared"/>
    <x v="0"/>
    <s v="LBM AP - Q4 2025 2nd 450MT"/>
    <n v="2929"/>
    <n v="5.13"/>
  </r>
  <r>
    <x v="0"/>
    <x v="0"/>
    <d v="2025-09-19T00:00:00"/>
    <n v="5"/>
    <x v="14"/>
    <s v="GY"/>
    <s v="Uncleared"/>
    <x v="0"/>
    <s v="LBM AP - Q4 2025 2nd 450MT"/>
    <n v="2929"/>
    <n v="5.13"/>
  </r>
  <r>
    <x v="0"/>
    <x v="0"/>
    <d v="2025-09-19T00:00:00"/>
    <n v="5"/>
    <x v="15"/>
    <s v="GY"/>
    <s v="Uncleared"/>
    <x v="0"/>
    <s v="LBM AP - Q4 2025 2nd 450MT"/>
    <n v="2929"/>
    <n v="5.13"/>
  </r>
  <r>
    <x v="0"/>
    <x v="0"/>
    <d v="2025-09-19T00:00:00"/>
    <n v="5"/>
    <x v="16"/>
    <s v="GY"/>
    <s v="Uncleared"/>
    <x v="0"/>
    <s v="LBM AP - Q4 2025 2nd 450MT"/>
    <n v="2929"/>
    <n v="5.13"/>
  </r>
  <r>
    <x v="0"/>
    <x v="0"/>
    <d v="2025-09-19T00:00:00"/>
    <n v="5"/>
    <x v="17"/>
    <s v="GY"/>
    <s v="Uncleared"/>
    <x v="0"/>
    <s v="LBM AP - Q4 2025 2nd 450MT"/>
    <n v="2929"/>
    <n v="5.13"/>
  </r>
  <r>
    <x v="1"/>
    <x v="0"/>
    <d v="2025-09-19T00:00:00"/>
    <n v="1E-3"/>
    <x v="12"/>
    <s v="GY"/>
    <s v="Uncleared"/>
    <x v="0"/>
    <s v="LBM AP - Q4 2025 2nd 450MT"/>
    <n v="2929"/>
    <n v="1.25E-3"/>
  </r>
  <r>
    <x v="1"/>
    <x v="0"/>
    <d v="2025-09-19T00:00:00"/>
    <n v="1E-3"/>
    <x v="13"/>
    <s v="GY"/>
    <s v="Uncleared"/>
    <x v="0"/>
    <s v="LBM AP - Q4 2025 2nd 450MT"/>
    <n v="2929"/>
    <n v="1.25E-3"/>
  </r>
  <r>
    <x v="1"/>
    <x v="0"/>
    <d v="2025-09-19T00:00:00"/>
    <n v="1E-3"/>
    <x v="14"/>
    <s v="GY"/>
    <s v="Uncleared"/>
    <x v="0"/>
    <s v="LBM AP - Q4 2025 2nd 450MT"/>
    <n v="2929"/>
    <n v="1.25E-3"/>
  </r>
  <r>
    <x v="1"/>
    <x v="0"/>
    <d v="2025-09-19T00:00:00"/>
    <n v="1E-3"/>
    <x v="15"/>
    <s v="GY"/>
    <s v="Uncleared"/>
    <x v="0"/>
    <s v="LBM AP - Q4 2025 2nd 450MT"/>
    <n v="2929"/>
    <n v="1.25E-3"/>
  </r>
  <r>
    <x v="1"/>
    <x v="0"/>
    <d v="2025-09-19T00:00:00"/>
    <n v="1E-3"/>
    <x v="16"/>
    <s v="GY"/>
    <s v="Uncleared"/>
    <x v="0"/>
    <s v="LBM AP - Q4 2025 2nd 450MT"/>
    <n v="2929"/>
    <n v="1.25E-3"/>
  </r>
  <r>
    <x v="1"/>
    <x v="0"/>
    <d v="2025-09-19T00:00:00"/>
    <n v="1E-3"/>
    <x v="17"/>
    <s v="GY"/>
    <s v="Uncleared"/>
    <x v="0"/>
    <s v="LBM AP - Q4 2025 2nd 450MT"/>
    <n v="2929"/>
    <n v="1.25E-3"/>
  </r>
  <r>
    <x v="0"/>
    <x v="1"/>
    <d v="2025-09-22T00:00:00"/>
    <n v="5"/>
    <x v="18"/>
    <s v="GY"/>
    <s v="Uncleared"/>
    <x v="1"/>
    <s v="LBM AP - Q4 2025 2nd 450MT"/>
    <n v="2929"/>
    <n v="5.13"/>
  </r>
  <r>
    <x v="0"/>
    <x v="1"/>
    <d v="2025-09-22T00:00:00"/>
    <n v="5"/>
    <x v="19"/>
    <s v="GY"/>
    <s v="Uncleared"/>
    <x v="1"/>
    <s v="LBM AP - Q4 2025 2nd 450MT"/>
    <n v="2929"/>
    <n v="5.13"/>
  </r>
  <r>
    <x v="0"/>
    <x v="1"/>
    <d v="2025-09-22T00:00:00"/>
    <n v="5"/>
    <x v="20"/>
    <s v="GY"/>
    <s v="Uncleared"/>
    <x v="1"/>
    <s v="LBM AP - Q4 2025 2nd 450MT"/>
    <n v="2929"/>
    <n v="5.13"/>
  </r>
  <r>
    <x v="0"/>
    <x v="1"/>
    <d v="2025-09-22T00:00:00"/>
    <n v="5"/>
    <x v="21"/>
    <s v="GY"/>
    <s v="Uncleared"/>
    <x v="1"/>
    <s v="LBM AP - Q4 2025 2nd 450MT"/>
    <n v="2929"/>
    <n v="5.13"/>
  </r>
  <r>
    <x v="0"/>
    <x v="1"/>
    <d v="2025-09-22T00:00:00"/>
    <n v="5"/>
    <x v="22"/>
    <s v="GY"/>
    <s v="Uncleared"/>
    <x v="1"/>
    <s v="LBM AP - Q4 2025 2nd 450MT"/>
    <n v="2929"/>
    <n v="5.13"/>
  </r>
  <r>
    <x v="0"/>
    <x v="1"/>
    <d v="2025-09-22T00:00:00"/>
    <n v="5"/>
    <x v="23"/>
    <s v="GY"/>
    <s v="Uncleared"/>
    <x v="1"/>
    <s v="LBM AP - Q4 2025 2nd 450MT"/>
    <n v="2929"/>
    <n v="5.13"/>
  </r>
  <r>
    <x v="0"/>
    <x v="1"/>
    <d v="2025-09-22T00:00:00"/>
    <n v="5"/>
    <x v="24"/>
    <s v="GY"/>
    <s v="Uncleared"/>
    <x v="1"/>
    <s v="LBM AP - Q4 2025 2nd 450MT"/>
    <n v="2929"/>
    <n v="5.13"/>
  </r>
  <r>
    <x v="0"/>
    <x v="1"/>
    <d v="2025-09-22T00:00:00"/>
    <n v="5"/>
    <x v="25"/>
    <s v="GY"/>
    <s v="Uncleared"/>
    <x v="1"/>
    <s v="LBM AP - Q4 2025 2nd 450MT"/>
    <n v="2929"/>
    <n v="5.13"/>
  </r>
  <r>
    <x v="0"/>
    <x v="1"/>
    <d v="2025-09-22T00:00:00"/>
    <n v="5"/>
    <x v="26"/>
    <s v="GY"/>
    <s v="Uncleared"/>
    <x v="1"/>
    <s v="LBM AP - Q4 2025 2nd 450MT"/>
    <n v="2929"/>
    <n v="5.13"/>
  </r>
  <r>
    <x v="0"/>
    <x v="1"/>
    <d v="2025-09-22T00:00:00"/>
    <n v="5"/>
    <x v="27"/>
    <s v="GY"/>
    <s v="Uncleared"/>
    <x v="1"/>
    <s v="LBM AP - Q4 2025 2nd 450MT"/>
    <n v="2929"/>
    <n v="5.13"/>
  </r>
  <r>
    <x v="0"/>
    <x v="1"/>
    <d v="2025-09-22T00:00:00"/>
    <n v="5"/>
    <x v="28"/>
    <s v="GY"/>
    <s v="Uncleared"/>
    <x v="1"/>
    <s v="LBM AP - Q4 2025 2nd 450MT"/>
    <n v="2929"/>
    <n v="5.13"/>
  </r>
  <r>
    <x v="0"/>
    <x v="1"/>
    <d v="2025-09-22T00:00:00"/>
    <n v="5"/>
    <x v="29"/>
    <s v="GY"/>
    <s v="Uncleared"/>
    <x v="1"/>
    <s v="LBM AP - Q4 2025 2nd 450MT"/>
    <n v="2929"/>
    <n v="5.13"/>
  </r>
  <r>
    <x v="0"/>
    <x v="1"/>
    <d v="2025-09-22T00:00:00"/>
    <n v="5"/>
    <x v="30"/>
    <s v="GY"/>
    <s v="Uncleared"/>
    <x v="1"/>
    <s v="LBM AP - Q4 2025 2nd 450MT"/>
    <n v="2929"/>
    <n v="5.13"/>
  </r>
  <r>
    <x v="0"/>
    <x v="1"/>
    <d v="2025-09-22T00:00:00"/>
    <n v="5"/>
    <x v="31"/>
    <s v="GY"/>
    <s v="Uncleared"/>
    <x v="1"/>
    <s v="LBM AP - Q4 2025 2nd 450MT"/>
    <n v="2929"/>
    <n v="5.13"/>
  </r>
  <r>
    <x v="0"/>
    <x v="1"/>
    <d v="2025-09-22T00:00:00"/>
    <n v="5"/>
    <x v="32"/>
    <s v="GY"/>
    <s v="Uncleared"/>
    <x v="1"/>
    <s v="LBM AP - Q4 2025 2nd 450MT"/>
    <n v="2929"/>
    <n v="5.13"/>
  </r>
  <r>
    <x v="0"/>
    <x v="1"/>
    <d v="2025-09-22T00:00:00"/>
    <n v="5"/>
    <x v="33"/>
    <s v="GY"/>
    <s v="Uncleared"/>
    <x v="1"/>
    <s v="LBM AP - Q4 2025 2nd 450MT"/>
    <n v="2929"/>
    <n v="5.13"/>
  </r>
  <r>
    <x v="0"/>
    <x v="1"/>
    <d v="2025-09-22T00:00:00"/>
    <n v="5"/>
    <x v="34"/>
    <s v="GY"/>
    <s v="Uncleared"/>
    <x v="1"/>
    <s v="LBM AP - Q4 2025 2nd 450MT"/>
    <n v="2929"/>
    <n v="5.13"/>
  </r>
  <r>
    <x v="0"/>
    <x v="1"/>
    <d v="2025-09-22T00:00:00"/>
    <n v="5"/>
    <x v="35"/>
    <s v="GY"/>
    <s v="Uncleared"/>
    <x v="1"/>
    <s v="LBM AP - Q4 2025 2nd 450MT"/>
    <n v="2929"/>
    <n v="5.13"/>
  </r>
  <r>
    <x v="0"/>
    <x v="1"/>
    <d v="2025-09-22T00:00:00"/>
    <n v="5"/>
    <x v="36"/>
    <s v="GY"/>
    <s v="Uncleared"/>
    <x v="1"/>
    <s v="LBM AP - Q4 2025 2nd 450MT"/>
    <n v="2929"/>
    <n v="5.13"/>
  </r>
  <r>
    <x v="0"/>
    <x v="1"/>
    <d v="2025-09-22T00:00:00"/>
    <n v="5"/>
    <x v="37"/>
    <s v="GY"/>
    <s v="Uncleared"/>
    <x v="1"/>
    <s v="LBM AP - Q4 2025 2nd 450MT"/>
    <n v="2929"/>
    <n v="5.13"/>
  </r>
  <r>
    <x v="0"/>
    <x v="1"/>
    <d v="2025-09-22T00:00:00"/>
    <n v="5"/>
    <x v="38"/>
    <s v="GY"/>
    <s v="Uncleared"/>
    <x v="1"/>
    <s v="LBM AP - Q4 2025 2nd 450MT"/>
    <n v="2929"/>
    <n v="5.13"/>
  </r>
  <r>
    <x v="0"/>
    <x v="1"/>
    <d v="2025-09-22T00:00:00"/>
    <n v="5"/>
    <x v="39"/>
    <s v="GY"/>
    <s v="Uncleared"/>
    <x v="1"/>
    <s v="LBM AP - Q4 2025 2nd 450MT"/>
    <n v="2929"/>
    <n v="5.13"/>
  </r>
  <r>
    <x v="1"/>
    <x v="1"/>
    <d v="2025-09-22T00:00:00"/>
    <n v="1E-3"/>
    <x v="18"/>
    <s v="GY"/>
    <s v="Uncleared"/>
    <x v="1"/>
    <s v="LBM AP - Q4 2025 2nd 450MT"/>
    <n v="2929"/>
    <n v="1.25E-3"/>
  </r>
  <r>
    <x v="1"/>
    <x v="1"/>
    <d v="2025-09-22T00:00:00"/>
    <n v="1E-3"/>
    <x v="19"/>
    <s v="GY"/>
    <s v="Uncleared"/>
    <x v="1"/>
    <s v="LBM AP - Q4 2025 2nd 450MT"/>
    <n v="2929"/>
    <n v="1.25E-3"/>
  </r>
  <r>
    <x v="1"/>
    <x v="1"/>
    <d v="2025-09-22T00:00:00"/>
    <n v="1E-3"/>
    <x v="20"/>
    <s v="GY"/>
    <s v="Uncleared"/>
    <x v="1"/>
    <s v="LBM AP - Q4 2025 2nd 450MT"/>
    <n v="2929"/>
    <n v="1.25E-3"/>
  </r>
  <r>
    <x v="1"/>
    <x v="1"/>
    <d v="2025-09-22T00:00:00"/>
    <n v="1E-3"/>
    <x v="21"/>
    <s v="GY"/>
    <s v="Uncleared"/>
    <x v="1"/>
    <s v="LBM AP - Q4 2025 2nd 450MT"/>
    <n v="2929"/>
    <n v="1.25E-3"/>
  </r>
  <r>
    <x v="1"/>
    <x v="1"/>
    <d v="2025-09-22T00:00:00"/>
    <n v="1E-3"/>
    <x v="22"/>
    <s v="GY"/>
    <s v="Uncleared"/>
    <x v="1"/>
    <s v="LBM AP - Q4 2025 2nd 450MT"/>
    <n v="2929"/>
    <n v="1.25E-3"/>
  </r>
  <r>
    <x v="1"/>
    <x v="1"/>
    <d v="2025-09-22T00:00:00"/>
    <n v="1E-3"/>
    <x v="23"/>
    <s v="GY"/>
    <s v="Uncleared"/>
    <x v="1"/>
    <s v="LBM AP - Q4 2025 2nd 450MT"/>
    <n v="2929"/>
    <n v="1.25E-3"/>
  </r>
  <r>
    <x v="1"/>
    <x v="1"/>
    <d v="2025-09-22T00:00:00"/>
    <n v="1E-3"/>
    <x v="24"/>
    <s v="GY"/>
    <s v="Uncleared"/>
    <x v="1"/>
    <s v="LBM AP - Q4 2025 2nd 450MT"/>
    <n v="2929"/>
    <n v="1.25E-3"/>
  </r>
  <r>
    <x v="1"/>
    <x v="1"/>
    <d v="2025-09-22T00:00:00"/>
    <n v="1E-3"/>
    <x v="25"/>
    <s v="GY"/>
    <s v="Uncleared"/>
    <x v="1"/>
    <s v="LBM AP - Q4 2025 2nd 450MT"/>
    <n v="2929"/>
    <n v="1.25E-3"/>
  </r>
  <r>
    <x v="1"/>
    <x v="1"/>
    <d v="2025-09-22T00:00:00"/>
    <n v="1E-3"/>
    <x v="26"/>
    <s v="GY"/>
    <s v="Uncleared"/>
    <x v="1"/>
    <s v="LBM AP - Q4 2025 2nd 450MT"/>
    <n v="2929"/>
    <n v="1.25E-3"/>
  </r>
  <r>
    <x v="1"/>
    <x v="1"/>
    <d v="2025-09-22T00:00:00"/>
    <n v="1E-3"/>
    <x v="27"/>
    <s v="GY"/>
    <s v="Uncleared"/>
    <x v="1"/>
    <s v="LBM AP - Q4 2025 2nd 450MT"/>
    <n v="2929"/>
    <n v="1.25E-3"/>
  </r>
  <r>
    <x v="1"/>
    <x v="1"/>
    <d v="2025-09-22T00:00:00"/>
    <n v="1E-3"/>
    <x v="28"/>
    <s v="GY"/>
    <s v="Uncleared"/>
    <x v="1"/>
    <s v="LBM AP - Q4 2025 2nd 450MT"/>
    <n v="2929"/>
    <n v="1.25E-3"/>
  </r>
  <r>
    <x v="1"/>
    <x v="1"/>
    <d v="2025-09-22T00:00:00"/>
    <n v="1E-3"/>
    <x v="29"/>
    <s v="GY"/>
    <s v="Uncleared"/>
    <x v="1"/>
    <s v="LBM AP - Q4 2025 2nd 450MT"/>
    <n v="2929"/>
    <n v="1.25E-3"/>
  </r>
  <r>
    <x v="1"/>
    <x v="1"/>
    <d v="2025-09-22T00:00:00"/>
    <n v="1E-3"/>
    <x v="30"/>
    <s v="GY"/>
    <s v="Uncleared"/>
    <x v="1"/>
    <s v="LBM AP - Q4 2025 2nd 450MT"/>
    <n v="2929"/>
    <n v="1.25E-3"/>
  </r>
  <r>
    <x v="1"/>
    <x v="1"/>
    <d v="2025-09-22T00:00:00"/>
    <n v="1E-3"/>
    <x v="31"/>
    <s v="GY"/>
    <s v="Uncleared"/>
    <x v="1"/>
    <s v="LBM AP - Q4 2025 2nd 450MT"/>
    <n v="2929"/>
    <n v="1.25E-3"/>
  </r>
  <r>
    <x v="1"/>
    <x v="1"/>
    <d v="2025-09-22T00:00:00"/>
    <n v="1E-3"/>
    <x v="32"/>
    <s v="GY"/>
    <s v="Uncleared"/>
    <x v="1"/>
    <s v="LBM AP - Q4 2025 2nd 450MT"/>
    <n v="2929"/>
    <n v="1.25E-3"/>
  </r>
  <r>
    <x v="1"/>
    <x v="1"/>
    <d v="2025-09-22T00:00:00"/>
    <n v="1E-3"/>
    <x v="33"/>
    <s v="GY"/>
    <s v="Uncleared"/>
    <x v="1"/>
    <s v="LBM AP - Q4 2025 2nd 450MT"/>
    <n v="2929"/>
    <n v="1.25E-3"/>
  </r>
  <r>
    <x v="1"/>
    <x v="1"/>
    <d v="2025-09-22T00:00:00"/>
    <n v="1E-3"/>
    <x v="34"/>
    <s v="GY"/>
    <s v="Uncleared"/>
    <x v="1"/>
    <s v="LBM AP - Q4 2025 2nd 450MT"/>
    <n v="2929"/>
    <n v="1.25E-3"/>
  </r>
  <r>
    <x v="1"/>
    <x v="1"/>
    <d v="2025-09-22T00:00:00"/>
    <n v="1E-3"/>
    <x v="35"/>
    <s v="GY"/>
    <s v="Uncleared"/>
    <x v="1"/>
    <s v="LBM AP - Q4 2025 2nd 450MT"/>
    <n v="2929"/>
    <n v="1.25E-3"/>
  </r>
  <r>
    <x v="1"/>
    <x v="1"/>
    <d v="2025-09-22T00:00:00"/>
    <n v="1E-3"/>
    <x v="36"/>
    <s v="GY"/>
    <s v="Uncleared"/>
    <x v="1"/>
    <s v="LBM AP - Q4 2025 2nd 450MT"/>
    <n v="2929"/>
    <n v="1.25E-3"/>
  </r>
  <r>
    <x v="1"/>
    <x v="1"/>
    <d v="2025-09-22T00:00:00"/>
    <n v="1E-3"/>
    <x v="37"/>
    <s v="GY"/>
    <s v="Uncleared"/>
    <x v="1"/>
    <s v="LBM AP - Q4 2025 2nd 450MT"/>
    <n v="2929"/>
    <n v="1.25E-3"/>
  </r>
  <r>
    <x v="1"/>
    <x v="1"/>
    <d v="2025-09-22T00:00:00"/>
    <n v="1E-3"/>
    <x v="38"/>
    <s v="GY"/>
    <s v="Uncleared"/>
    <x v="1"/>
    <s v="LBM AP - Q4 2025 2nd 450MT"/>
    <n v="2929"/>
    <n v="1.25E-3"/>
  </r>
  <r>
    <x v="1"/>
    <x v="1"/>
    <d v="2025-09-22T00:00:00"/>
    <n v="1E-3"/>
    <x v="39"/>
    <s v="GY"/>
    <s v="Uncleared"/>
    <x v="1"/>
    <s v="LBM AP - Q4 2025 2nd 450MT"/>
    <n v="2929"/>
    <n v="1.25E-3"/>
  </r>
  <r>
    <x v="0"/>
    <x v="2"/>
    <d v="2025-09-25T00:00:00"/>
    <n v="5"/>
    <x v="40"/>
    <s v="GY"/>
    <s v="Uncleared"/>
    <x v="1"/>
    <s v="LBM AP - Q4 2025 2nd 450MT"/>
    <n v="2929"/>
    <n v="5.13"/>
  </r>
  <r>
    <x v="0"/>
    <x v="2"/>
    <d v="2025-09-25T00:00:00"/>
    <n v="5"/>
    <x v="41"/>
    <s v="GY"/>
    <s v="Uncleared"/>
    <x v="1"/>
    <s v="LBM AP - Q4 2025 2nd 450MT"/>
    <n v="2929"/>
    <n v="5.13"/>
  </r>
  <r>
    <x v="0"/>
    <x v="2"/>
    <d v="2025-09-25T00:00:00"/>
    <n v="5"/>
    <x v="42"/>
    <s v="GY"/>
    <s v="Uncleared"/>
    <x v="1"/>
    <s v="LBM AP - Q4 2025 2nd 450MT"/>
    <n v="2929"/>
    <n v="5.13"/>
  </r>
  <r>
    <x v="0"/>
    <x v="2"/>
    <d v="2025-09-25T00:00:00"/>
    <n v="5"/>
    <x v="43"/>
    <s v="GY"/>
    <s v="Uncleared"/>
    <x v="1"/>
    <s v="LBM AP - Q4 2025 2nd 450MT"/>
    <n v="2929"/>
    <n v="5.13"/>
  </r>
  <r>
    <x v="0"/>
    <x v="2"/>
    <d v="2025-09-25T00:00:00"/>
    <n v="5"/>
    <x v="44"/>
    <s v="GY"/>
    <s v="Uncleared"/>
    <x v="1"/>
    <s v="LBM AP - Q4 2025 2nd 450MT"/>
    <n v="2929"/>
    <n v="5.13"/>
  </r>
  <r>
    <x v="0"/>
    <x v="2"/>
    <d v="2025-09-25T00:00:00"/>
    <n v="5"/>
    <x v="45"/>
    <s v="GY"/>
    <s v="Uncleared"/>
    <x v="1"/>
    <s v="LBM AP - Q4 2025 2nd 450MT"/>
    <n v="2929"/>
    <n v="5.13"/>
  </r>
  <r>
    <x v="0"/>
    <x v="2"/>
    <d v="2025-09-25T00:00:00"/>
    <n v="5"/>
    <x v="46"/>
    <s v="GY"/>
    <s v="Uncleared"/>
    <x v="1"/>
    <s v="LBM AP - Q4 2025 2nd 450MT"/>
    <n v="2929"/>
    <n v="5.13"/>
  </r>
  <r>
    <x v="0"/>
    <x v="2"/>
    <d v="2025-09-25T00:00:00"/>
    <n v="5"/>
    <x v="47"/>
    <s v="GY"/>
    <s v="Uncleared"/>
    <x v="1"/>
    <s v="LBM AP - Q4 2025 2nd 450MT"/>
    <n v="2929"/>
    <n v="5.13"/>
  </r>
  <r>
    <x v="0"/>
    <x v="2"/>
    <d v="2025-09-25T00:00:00"/>
    <n v="5"/>
    <x v="48"/>
    <s v="GY"/>
    <s v="Uncleared"/>
    <x v="1"/>
    <s v="LBM AP - Q4 2025 2nd 450MT"/>
    <n v="2929"/>
    <n v="5.13"/>
  </r>
  <r>
    <x v="0"/>
    <x v="2"/>
    <d v="2025-09-25T00:00:00"/>
    <n v="5"/>
    <x v="49"/>
    <s v="GY"/>
    <s v="Uncleared"/>
    <x v="1"/>
    <s v="LBM AP - Q4 2025 2nd 450MT"/>
    <n v="2929"/>
    <n v="5.13"/>
  </r>
  <r>
    <x v="0"/>
    <x v="2"/>
    <d v="2025-09-25T00:00:00"/>
    <n v="5"/>
    <x v="50"/>
    <s v="GY"/>
    <s v="Uncleared"/>
    <x v="1"/>
    <s v="LBM AP - Q4 2025 2nd 450MT"/>
    <n v="2929"/>
    <n v="5.13"/>
  </r>
  <r>
    <x v="0"/>
    <x v="2"/>
    <d v="2025-09-25T00:00:00"/>
    <n v="5"/>
    <x v="51"/>
    <s v="GY"/>
    <s v="Uncleared"/>
    <x v="1"/>
    <s v="LBM AP - Q4 2025 2nd 450MT"/>
    <n v="2929"/>
    <n v="5.13"/>
  </r>
  <r>
    <x v="1"/>
    <x v="2"/>
    <d v="2025-09-25T00:00:00"/>
    <n v="1E-3"/>
    <x v="40"/>
    <s v="GY"/>
    <s v="Uncleared"/>
    <x v="1"/>
    <s v="LBM AP - Q4 2025 2nd 450MT"/>
    <n v="2929"/>
    <n v="1.25E-3"/>
  </r>
  <r>
    <x v="1"/>
    <x v="2"/>
    <d v="2025-09-25T00:00:00"/>
    <n v="1E-3"/>
    <x v="41"/>
    <s v="GY"/>
    <s v="Uncleared"/>
    <x v="1"/>
    <s v="LBM AP - Q4 2025 2nd 450MT"/>
    <n v="2929"/>
    <n v="1.25E-3"/>
  </r>
  <r>
    <x v="1"/>
    <x v="2"/>
    <d v="2025-09-25T00:00:00"/>
    <n v="1E-3"/>
    <x v="42"/>
    <s v="GY"/>
    <s v="Uncleared"/>
    <x v="1"/>
    <s v="LBM AP - Q4 2025 2nd 450MT"/>
    <n v="2929"/>
    <n v="1.25E-3"/>
  </r>
  <r>
    <x v="1"/>
    <x v="2"/>
    <d v="2025-09-25T00:00:00"/>
    <n v="1E-3"/>
    <x v="43"/>
    <s v="GY"/>
    <s v="Uncleared"/>
    <x v="1"/>
    <s v="LBM AP - Q4 2025 2nd 450MT"/>
    <n v="2929"/>
    <n v="1.25E-3"/>
  </r>
  <r>
    <x v="1"/>
    <x v="2"/>
    <d v="2025-09-25T00:00:00"/>
    <n v="1E-3"/>
    <x v="44"/>
    <s v="GY"/>
    <s v="Uncleared"/>
    <x v="1"/>
    <s v="LBM AP - Q4 2025 2nd 450MT"/>
    <n v="2929"/>
    <n v="1.25E-3"/>
  </r>
  <r>
    <x v="1"/>
    <x v="2"/>
    <d v="2025-09-25T00:00:00"/>
    <n v="1E-3"/>
    <x v="45"/>
    <s v="GY"/>
    <s v="Uncleared"/>
    <x v="1"/>
    <s v="LBM AP - Q4 2025 2nd 450MT"/>
    <n v="2929"/>
    <n v="1.25E-3"/>
  </r>
  <r>
    <x v="1"/>
    <x v="2"/>
    <d v="2025-09-25T00:00:00"/>
    <n v="1E-3"/>
    <x v="46"/>
    <s v="GY"/>
    <s v="Uncleared"/>
    <x v="1"/>
    <s v="LBM AP - Q4 2025 2nd 450MT"/>
    <n v="2929"/>
    <n v="1.25E-3"/>
  </r>
  <r>
    <x v="1"/>
    <x v="2"/>
    <d v="2025-09-25T00:00:00"/>
    <n v="1E-3"/>
    <x v="47"/>
    <s v="GY"/>
    <s v="Uncleared"/>
    <x v="1"/>
    <s v="LBM AP - Q4 2025 2nd 450MT"/>
    <n v="2929"/>
    <n v="1.25E-3"/>
  </r>
  <r>
    <x v="1"/>
    <x v="2"/>
    <d v="2025-09-25T00:00:00"/>
    <n v="1E-3"/>
    <x v="48"/>
    <s v="GY"/>
    <s v="Uncleared"/>
    <x v="1"/>
    <s v="LBM AP - Q4 2025 2nd 450MT"/>
    <n v="2929"/>
    <n v="1.25E-3"/>
  </r>
  <r>
    <x v="1"/>
    <x v="2"/>
    <d v="2025-09-25T00:00:00"/>
    <n v="1E-3"/>
    <x v="49"/>
    <s v="GY"/>
    <s v="Uncleared"/>
    <x v="1"/>
    <s v="LBM AP - Q4 2025 2nd 450MT"/>
    <n v="2929"/>
    <n v="1.25E-3"/>
  </r>
  <r>
    <x v="1"/>
    <x v="2"/>
    <d v="2025-09-25T00:00:00"/>
    <n v="1E-3"/>
    <x v="50"/>
    <s v="GY"/>
    <s v="Uncleared"/>
    <x v="1"/>
    <s v="LBM AP - Q4 2025 2nd 450MT"/>
    <n v="2929"/>
    <n v="1.25E-3"/>
  </r>
  <r>
    <x v="1"/>
    <x v="2"/>
    <d v="2025-09-25T00:00:00"/>
    <n v="1E-3"/>
    <x v="51"/>
    <s v="GY"/>
    <s v="Uncleared"/>
    <x v="1"/>
    <s v="LBM AP - Q4 2025 2nd 450MT"/>
    <n v="2929"/>
    <n v="1.25E-3"/>
  </r>
  <r>
    <x v="0"/>
    <x v="3"/>
    <d v="2025-09-26T00:00:00"/>
    <n v="5"/>
    <x v="52"/>
    <s v="GY"/>
    <s v="Uncleared"/>
    <x v="1"/>
    <s v="LBM AP - Q4 2025 2nd 450MT"/>
    <n v="2929"/>
    <n v="5.13"/>
  </r>
  <r>
    <x v="1"/>
    <x v="3"/>
    <d v="2025-09-26T00:00:00"/>
    <n v="1E-3"/>
    <x v="52"/>
    <s v="GY"/>
    <s v="Uncleared"/>
    <x v="1"/>
    <s v="LBM AP - Q4 2025 2nd 450MT"/>
    <n v="2929"/>
    <n v="1.25E-3"/>
  </r>
  <r>
    <x v="0"/>
    <x v="3"/>
    <d v="2025-09-26T00:00:00"/>
    <n v="5"/>
    <x v="53"/>
    <s v="GY"/>
    <s v="Uncleared"/>
    <x v="1"/>
    <s v="LBM AP - Q4 2025 2nd 450MT"/>
    <n v="2929"/>
    <n v="5.13"/>
  </r>
  <r>
    <x v="1"/>
    <x v="3"/>
    <d v="2025-09-26T00:00:00"/>
    <n v="1E-3"/>
    <x v="53"/>
    <s v="GY"/>
    <s v="Uncleared"/>
    <x v="1"/>
    <s v="LBM AP - Q4 2025 2nd 450MT"/>
    <n v="2929"/>
    <n v="1.25E-3"/>
  </r>
  <r>
    <x v="0"/>
    <x v="3"/>
    <d v="2025-09-26T00:00:00"/>
    <n v="5"/>
    <x v="54"/>
    <s v="GY"/>
    <s v="Uncleared"/>
    <x v="1"/>
    <s v="LBM AP - Q4 2025 2nd 450MT"/>
    <n v="2929"/>
    <n v="5.13"/>
  </r>
  <r>
    <x v="0"/>
    <x v="4"/>
    <d v="2025-09-26T00:00:00"/>
    <n v="5"/>
    <x v="55"/>
    <s v="GY"/>
    <s v="Uncleared"/>
    <x v="1"/>
    <s v="LBM AP - Q4 2025 2nd 450MT"/>
    <n v="2929"/>
    <n v="5.13"/>
  </r>
  <r>
    <x v="0"/>
    <x v="4"/>
    <d v="2025-09-26T00:00:00"/>
    <n v="5"/>
    <x v="56"/>
    <s v="GY"/>
    <s v="Uncleared"/>
    <x v="1"/>
    <s v="LBM AP - Q4 2025 2nd 450MT"/>
    <n v="2929"/>
    <n v="5.13"/>
  </r>
  <r>
    <x v="0"/>
    <x v="4"/>
    <d v="2025-09-26T00:00:00"/>
    <n v="5"/>
    <x v="57"/>
    <s v="GY"/>
    <s v="Uncleared"/>
    <x v="1"/>
    <s v="LBM AP - Q4 2025 2nd 450MT"/>
    <n v="2929"/>
    <n v="5.13"/>
  </r>
  <r>
    <x v="0"/>
    <x v="4"/>
    <d v="2025-09-26T00:00:00"/>
    <n v="5"/>
    <x v="58"/>
    <s v="GY"/>
    <s v="Uncleared"/>
    <x v="1"/>
    <s v="LBM AP - Q4 2025 2nd 450MT"/>
    <n v="2929"/>
    <n v="5.13"/>
  </r>
  <r>
    <x v="0"/>
    <x v="4"/>
    <d v="2025-09-26T00:00:00"/>
    <n v="5"/>
    <x v="59"/>
    <s v="GY"/>
    <s v="Uncleared"/>
    <x v="1"/>
    <s v="LBM AP - Q4 2025 2nd 450MT"/>
    <n v="2929"/>
    <n v="5.13"/>
  </r>
  <r>
    <x v="1"/>
    <x v="3"/>
    <d v="2025-09-26T00:00:00"/>
    <n v="1E-3"/>
    <x v="54"/>
    <s v="GY"/>
    <s v="Uncleared"/>
    <x v="1"/>
    <s v="LBM AP - Q4 2025 2nd 450MT"/>
    <n v="2929"/>
    <n v="1.25E-3"/>
  </r>
  <r>
    <x v="0"/>
    <x v="3"/>
    <d v="2025-09-26T00:00:00"/>
    <n v="5"/>
    <x v="60"/>
    <s v="GY"/>
    <s v="Uncleared"/>
    <x v="1"/>
    <s v="LBM AP - Q4 2025 2nd 450MT"/>
    <n v="2929"/>
    <n v="5.13"/>
  </r>
  <r>
    <x v="1"/>
    <x v="3"/>
    <d v="2025-09-26T00:00:00"/>
    <n v="1E-3"/>
    <x v="60"/>
    <s v="GY"/>
    <s v="Uncleared"/>
    <x v="1"/>
    <s v="LBM AP - Q4 2025 2nd 450MT"/>
    <n v="2929"/>
    <n v="1.25E-3"/>
  </r>
  <r>
    <x v="0"/>
    <x v="3"/>
    <d v="2025-09-26T00:00:00"/>
    <n v="5"/>
    <x v="61"/>
    <s v="GY"/>
    <s v="Uncleared"/>
    <x v="1"/>
    <s v="LBM AP - Q4 2025 2nd 450MT"/>
    <n v="2929"/>
    <n v="5.13"/>
  </r>
  <r>
    <x v="1"/>
    <x v="3"/>
    <d v="2025-09-26T00:00:00"/>
    <n v="1E-3"/>
    <x v="61"/>
    <s v="GY"/>
    <s v="Uncleared"/>
    <x v="1"/>
    <s v="LBM AP - Q4 2025 2nd 450MT"/>
    <n v="2929"/>
    <n v="1.25E-3"/>
  </r>
  <r>
    <x v="0"/>
    <x v="3"/>
    <d v="2025-09-29T00:00:00"/>
    <n v="5"/>
    <x v="62"/>
    <s v="GY"/>
    <s v="Uncleared"/>
    <x v="1"/>
    <s v="LBM AP - Q4 2025 2nd 450MT"/>
    <n v="2929"/>
    <n v="5.13"/>
  </r>
  <r>
    <x v="1"/>
    <x v="3"/>
    <d v="2025-09-29T00:00:00"/>
    <n v="1E-3"/>
    <x v="62"/>
    <s v="GY"/>
    <s v="Uncleared"/>
    <x v="1"/>
    <s v="LBM AP - Q4 2025 2nd 450MT"/>
    <n v="2929"/>
    <n v="1.25E-3"/>
  </r>
  <r>
    <x v="0"/>
    <x v="3"/>
    <d v="2025-09-29T00:00:00"/>
    <n v="5"/>
    <x v="63"/>
    <s v="GY"/>
    <s v="Uncleared"/>
    <x v="1"/>
    <s v="LBM AP - Q4 2025 2nd 450MT"/>
    <n v="2929"/>
    <n v="5.13"/>
  </r>
  <r>
    <x v="1"/>
    <x v="3"/>
    <d v="2025-09-29T00:00:00"/>
    <n v="1E-3"/>
    <x v="63"/>
    <s v="GY"/>
    <s v="Uncleared"/>
    <x v="1"/>
    <s v="LBM AP - Q4 2025 2nd 450MT"/>
    <n v="2929"/>
    <n v="1.25E-3"/>
  </r>
  <r>
    <x v="1"/>
    <x v="4"/>
    <d v="2025-09-26T00:00:00"/>
    <n v="1E-3"/>
    <x v="55"/>
    <s v="GY"/>
    <s v="Uncleared"/>
    <x v="1"/>
    <s v="LBM AP - Q4 2025 2nd 450MT"/>
    <n v="2929"/>
    <n v="1.25E-3"/>
  </r>
  <r>
    <x v="1"/>
    <x v="4"/>
    <d v="2025-09-26T00:00:00"/>
    <n v="1E-3"/>
    <x v="56"/>
    <s v="GY"/>
    <s v="Uncleared"/>
    <x v="1"/>
    <s v="LBM AP - Q4 2025 2nd 450MT"/>
    <n v="2929"/>
    <n v="1.25E-3"/>
  </r>
  <r>
    <x v="1"/>
    <x v="4"/>
    <d v="2025-09-26T00:00:00"/>
    <n v="1E-3"/>
    <x v="57"/>
    <s v="GY"/>
    <s v="Uncleared"/>
    <x v="1"/>
    <s v="LBM AP - Q4 2025 2nd 450MT"/>
    <n v="2929"/>
    <n v="1.25E-3"/>
  </r>
  <r>
    <x v="1"/>
    <x v="4"/>
    <d v="2025-09-26T00:00:00"/>
    <n v="1E-3"/>
    <x v="58"/>
    <s v="GY"/>
    <s v="Uncleared"/>
    <x v="1"/>
    <s v="LBM AP - Q4 2025 2nd 450MT"/>
    <n v="2929"/>
    <n v="1.25E-3"/>
  </r>
  <r>
    <x v="1"/>
    <x v="4"/>
    <d v="2025-09-26T00:00:00"/>
    <n v="1E-3"/>
    <x v="59"/>
    <s v="GY"/>
    <s v="Uncleared"/>
    <x v="1"/>
    <s v="LBM AP - Q4 2025 2nd 450MT"/>
    <n v="2929"/>
    <n v="1.25E-3"/>
  </r>
  <r>
    <x v="0"/>
    <x v="3"/>
    <d v="2025-09-29T00:00:00"/>
    <n v="5"/>
    <x v="64"/>
    <s v="GY"/>
    <s v="Uncleared"/>
    <x v="1"/>
    <s v="LBM AP - Q4 2025 2nd 450MT"/>
    <n v="2929"/>
    <n v="5.13"/>
  </r>
  <r>
    <x v="1"/>
    <x v="3"/>
    <d v="2025-09-29T00:00:00"/>
    <n v="1E-3"/>
    <x v="64"/>
    <s v="GY"/>
    <s v="Uncleared"/>
    <x v="1"/>
    <s v="LBM AP - Q4 2025 2nd 450MT"/>
    <n v="2929"/>
    <n v="1.25E-3"/>
  </r>
  <r>
    <x v="0"/>
    <x v="3"/>
    <d v="2025-09-29T00:00:00"/>
    <n v="5"/>
    <x v="65"/>
    <s v="GY"/>
    <s v="Uncleared"/>
    <x v="1"/>
    <s v="LBM AP - Q4 2025 2nd 450MT"/>
    <n v="2929"/>
    <n v="5.13"/>
  </r>
  <r>
    <x v="1"/>
    <x v="3"/>
    <d v="2025-09-29T00:00:00"/>
    <n v="1E-3"/>
    <x v="65"/>
    <s v="GY"/>
    <s v="Uncleared"/>
    <x v="1"/>
    <s v="LBM AP - Q4 2025 2nd 450MT"/>
    <n v="2929"/>
    <n v="1.25E-3"/>
  </r>
  <r>
    <x v="0"/>
    <x v="3"/>
    <d v="2025-09-29T00:00:00"/>
    <n v="5"/>
    <x v="66"/>
    <s v="GY"/>
    <s v="Uncleared"/>
    <x v="1"/>
    <s v="LBM AP - Q4 2025 2nd 450MT"/>
    <n v="2929"/>
    <n v="5.13"/>
  </r>
  <r>
    <x v="1"/>
    <x v="3"/>
    <d v="2025-09-29T00:00:00"/>
    <n v="1E-3"/>
    <x v="66"/>
    <s v="GY"/>
    <s v="Uncleared"/>
    <x v="1"/>
    <s v="LBM AP - Q4 2025 2nd 450MT"/>
    <n v="2929"/>
    <n v="1.25E-3"/>
  </r>
  <r>
    <x v="0"/>
    <x v="3"/>
    <d v="2025-09-29T00:00:00"/>
    <n v="5"/>
    <x v="67"/>
    <s v="GY"/>
    <s v="Uncleared"/>
    <x v="1"/>
    <s v="LBM AP - Q4 2025 2nd 450MT"/>
    <n v="2929"/>
    <n v="5.13"/>
  </r>
  <r>
    <x v="1"/>
    <x v="3"/>
    <d v="2025-09-29T00:00:00"/>
    <n v="1E-3"/>
    <x v="67"/>
    <s v="GY"/>
    <s v="Uncleared"/>
    <x v="1"/>
    <s v="LBM AP - Q4 2025 2nd 450MT"/>
    <n v="2929"/>
    <n v="1.25E-3"/>
  </r>
  <r>
    <x v="0"/>
    <x v="3"/>
    <d v="2025-09-29T00:00:00"/>
    <n v="5"/>
    <x v="68"/>
    <s v="GY"/>
    <s v="Uncleared"/>
    <x v="1"/>
    <s v="LBM AP - Q4 2025 2nd 450MT"/>
    <n v="2929"/>
    <n v="5.13"/>
  </r>
  <r>
    <x v="1"/>
    <x v="3"/>
    <d v="2025-09-29T00:00:00"/>
    <n v="1E-3"/>
    <x v="68"/>
    <s v="GY"/>
    <s v="Uncleared"/>
    <x v="1"/>
    <s v="LBM AP - Q4 2025 2nd 450MT"/>
    <n v="2929"/>
    <n v="1.25E-3"/>
  </r>
  <r>
    <x v="0"/>
    <x v="3"/>
    <d v="2025-09-29T00:00:00"/>
    <n v="5"/>
    <x v="69"/>
    <s v="GY"/>
    <s v="Uncleared"/>
    <x v="1"/>
    <s v="LBM AP - Q4 2025 2nd 450MT"/>
    <n v="2929"/>
    <n v="5.13"/>
  </r>
  <r>
    <x v="1"/>
    <x v="3"/>
    <d v="2025-09-29T00:00:00"/>
    <n v="1E-3"/>
    <x v="69"/>
    <s v="GY"/>
    <s v="Uncleared"/>
    <x v="1"/>
    <s v="LBM AP - Q4 2025 2nd 450MT"/>
    <n v="2929"/>
    <n v="1.25E-3"/>
  </r>
  <r>
    <x v="0"/>
    <x v="4"/>
    <d v="2025-09-29T00:00:00"/>
    <n v="5"/>
    <x v="70"/>
    <s v="GY"/>
    <s v="Uncleared"/>
    <x v="1"/>
    <s v="LBM AP - Q4 2025 2nd 450MT"/>
    <n v="2929"/>
    <n v="5.13"/>
  </r>
  <r>
    <x v="0"/>
    <x v="4"/>
    <d v="2025-09-29T00:00:00"/>
    <n v="5"/>
    <x v="71"/>
    <s v="GY"/>
    <s v="Uncleared"/>
    <x v="1"/>
    <s v="LBM AP - Q4 2025 2nd 450MT"/>
    <n v="2929"/>
    <n v="5.13"/>
  </r>
  <r>
    <x v="0"/>
    <x v="4"/>
    <d v="2025-09-29T00:00:00"/>
    <n v="5"/>
    <x v="72"/>
    <s v="GY"/>
    <s v="Uncleared"/>
    <x v="1"/>
    <s v="LBM AP - Q4 2025 2nd 450MT"/>
    <n v="2929"/>
    <n v="5.13"/>
  </r>
  <r>
    <x v="0"/>
    <x v="4"/>
    <d v="2025-09-29T00:00:00"/>
    <n v="5"/>
    <x v="73"/>
    <s v="GY"/>
    <s v="Uncleared"/>
    <x v="1"/>
    <s v="LBM AP - Q4 2025 2nd 450MT"/>
    <n v="2929"/>
    <n v="5.13"/>
  </r>
  <r>
    <x v="0"/>
    <x v="4"/>
    <d v="2025-09-29T00:00:00"/>
    <n v="5"/>
    <x v="74"/>
    <s v="GY"/>
    <s v="Uncleared"/>
    <x v="1"/>
    <s v="LBM AP - Q4 2025 2nd 450MT"/>
    <n v="2929"/>
    <n v="5.13"/>
  </r>
  <r>
    <x v="0"/>
    <x v="4"/>
    <d v="2025-09-29T00:00:00"/>
    <n v="5"/>
    <x v="75"/>
    <s v="GY"/>
    <s v="Uncleared"/>
    <x v="1"/>
    <s v="LBM AP - Q4 2025 2nd 450MT"/>
    <n v="2929"/>
    <n v="5.13"/>
  </r>
  <r>
    <x v="0"/>
    <x v="4"/>
    <d v="2025-09-29T00:00:00"/>
    <n v="5"/>
    <x v="76"/>
    <s v="GY"/>
    <s v="Uncleared"/>
    <x v="1"/>
    <s v="LBM AP - Q4 2025 2nd 450MT"/>
    <n v="2929"/>
    <n v="5.13"/>
  </r>
  <r>
    <x v="0"/>
    <x v="4"/>
    <d v="2025-09-29T00:00:00"/>
    <n v="5"/>
    <x v="77"/>
    <s v="GY"/>
    <s v="Uncleared"/>
    <x v="1"/>
    <s v="LBM AP - Q4 2025 2nd 450MT"/>
    <n v="2929"/>
    <n v="5.13"/>
  </r>
  <r>
    <x v="0"/>
    <x v="4"/>
    <d v="2025-09-29T00:00:00"/>
    <n v="5"/>
    <x v="78"/>
    <s v="GY"/>
    <s v="Uncleared"/>
    <x v="1"/>
    <s v="LBM AP - Q4 2025 2nd 450MT"/>
    <n v="2929"/>
    <n v="5.13"/>
  </r>
  <r>
    <x v="0"/>
    <x v="3"/>
    <d v="2025-09-26T00:00:00"/>
    <n v="5"/>
    <x v="79"/>
    <s v="GY"/>
    <s v="Uncleared"/>
    <x v="1"/>
    <s v="LBM AP - Q4 2025 2nd 450MT"/>
    <n v="2929"/>
    <n v="5.13"/>
  </r>
  <r>
    <x v="1"/>
    <x v="3"/>
    <d v="2025-09-26T00:00:00"/>
    <n v="1E-3"/>
    <x v="79"/>
    <s v="GY"/>
    <s v="Uncleared"/>
    <x v="1"/>
    <s v="LBM AP - Q4 2025 2nd 450MT"/>
    <n v="2929"/>
    <n v="1.25E-3"/>
  </r>
  <r>
    <x v="0"/>
    <x v="3"/>
    <d v="2025-09-26T00:00:00"/>
    <n v="5"/>
    <x v="80"/>
    <s v="GY"/>
    <s v="Uncleared"/>
    <x v="1"/>
    <s v="LBM AP - Q4 2025 2nd 450MT"/>
    <n v="2929"/>
    <n v="5.13"/>
  </r>
  <r>
    <x v="1"/>
    <x v="3"/>
    <d v="2025-09-26T00:00:00"/>
    <n v="1E-3"/>
    <x v="80"/>
    <s v="GY"/>
    <s v="Uncleared"/>
    <x v="1"/>
    <s v="LBM AP - Q4 2025 2nd 450MT"/>
    <n v="2929"/>
    <n v="1.25E-3"/>
  </r>
  <r>
    <x v="0"/>
    <x v="3"/>
    <d v="2025-09-29T00:00:00"/>
    <n v="5"/>
    <x v="81"/>
    <s v="GY"/>
    <s v="Uncleared"/>
    <x v="1"/>
    <s v="LBM AP - Q4 2025 2nd 450MT"/>
    <n v="2929"/>
    <n v="5.13"/>
  </r>
  <r>
    <x v="1"/>
    <x v="3"/>
    <d v="2025-09-29T00:00:00"/>
    <n v="1E-3"/>
    <x v="81"/>
    <s v="GY"/>
    <s v="Uncleared"/>
    <x v="1"/>
    <s v="LBM AP - Q4 2025 2nd 450MT"/>
    <n v="2929"/>
    <n v="1.25E-3"/>
  </r>
  <r>
    <x v="0"/>
    <x v="3"/>
    <d v="2025-09-29T00:00:00"/>
    <n v="5"/>
    <x v="82"/>
    <s v="GY"/>
    <s v="Uncleared"/>
    <x v="1"/>
    <s v="LBM AP - Q4 2025 2nd 450MT"/>
    <n v="2929"/>
    <n v="5.13"/>
  </r>
  <r>
    <x v="1"/>
    <x v="3"/>
    <d v="2025-09-29T00:00:00"/>
    <n v="1E-3"/>
    <x v="82"/>
    <s v="GY"/>
    <s v="Uncleared"/>
    <x v="1"/>
    <s v="LBM AP - Q4 2025 2nd 450MT"/>
    <n v="2929"/>
    <n v="1.25E-3"/>
  </r>
  <r>
    <x v="0"/>
    <x v="3"/>
    <d v="2025-09-29T00:00:00"/>
    <n v="5"/>
    <x v="83"/>
    <s v="GY"/>
    <s v="Uncleared"/>
    <x v="1"/>
    <s v="LBM AP - Q4 2025 2nd 450MT"/>
    <n v="2929"/>
    <n v="5.13"/>
  </r>
  <r>
    <x v="1"/>
    <x v="3"/>
    <d v="2025-09-29T00:00:00"/>
    <n v="1E-3"/>
    <x v="83"/>
    <s v="GY"/>
    <s v="Uncleared"/>
    <x v="1"/>
    <s v="LBM AP - Q4 2025 2nd 450MT"/>
    <n v="2929"/>
    <n v="1.25E-3"/>
  </r>
  <r>
    <x v="0"/>
    <x v="3"/>
    <d v="2025-09-29T00:00:00"/>
    <n v="5"/>
    <x v="84"/>
    <s v="GY"/>
    <s v="Uncleared"/>
    <x v="1"/>
    <s v="LBM AP - Q4 2025 2nd 450MT"/>
    <n v="2929"/>
    <n v="5.13"/>
  </r>
  <r>
    <x v="1"/>
    <x v="3"/>
    <d v="2025-09-29T00:00:00"/>
    <n v="1E-3"/>
    <x v="84"/>
    <s v="GY"/>
    <s v="Uncleared"/>
    <x v="1"/>
    <s v="LBM AP - Q4 2025 2nd 450MT"/>
    <n v="2929"/>
    <n v="1.25E-3"/>
  </r>
  <r>
    <x v="1"/>
    <x v="4"/>
    <d v="2025-09-29T00:00:00"/>
    <n v="1E-3"/>
    <x v="70"/>
    <s v="GY"/>
    <s v="Uncleared"/>
    <x v="1"/>
    <s v="LBM AP - Q4 2025 2nd 450MT"/>
    <n v="2929"/>
    <n v="1.25E-3"/>
  </r>
  <r>
    <x v="1"/>
    <x v="4"/>
    <d v="2025-09-29T00:00:00"/>
    <n v="1E-3"/>
    <x v="71"/>
    <s v="GY"/>
    <s v="Uncleared"/>
    <x v="1"/>
    <s v="LBM AP - Q4 2025 2nd 450MT"/>
    <n v="2929"/>
    <n v="1.25E-3"/>
  </r>
  <r>
    <x v="1"/>
    <x v="4"/>
    <d v="2025-09-29T00:00:00"/>
    <n v="1E-3"/>
    <x v="72"/>
    <s v="GY"/>
    <s v="Uncleared"/>
    <x v="1"/>
    <s v="LBM AP - Q4 2025 2nd 450MT"/>
    <n v="2929"/>
    <n v="1.25E-3"/>
  </r>
  <r>
    <x v="1"/>
    <x v="4"/>
    <d v="2025-09-29T00:00:00"/>
    <n v="1E-3"/>
    <x v="73"/>
    <s v="GY"/>
    <s v="Uncleared"/>
    <x v="1"/>
    <s v="LBM AP - Q4 2025 2nd 450MT"/>
    <n v="2929"/>
    <n v="1.25E-3"/>
  </r>
  <r>
    <x v="1"/>
    <x v="4"/>
    <d v="2025-09-29T00:00:00"/>
    <n v="1E-3"/>
    <x v="74"/>
    <s v="GY"/>
    <s v="Uncleared"/>
    <x v="1"/>
    <s v="LBM AP - Q4 2025 2nd 450MT"/>
    <n v="2929"/>
    <n v="1.25E-3"/>
  </r>
  <r>
    <x v="1"/>
    <x v="4"/>
    <d v="2025-09-29T00:00:00"/>
    <n v="1E-3"/>
    <x v="75"/>
    <s v="GY"/>
    <s v="Uncleared"/>
    <x v="1"/>
    <s v="LBM AP - Q4 2025 2nd 450MT"/>
    <n v="2929"/>
    <n v="1.25E-3"/>
  </r>
  <r>
    <x v="1"/>
    <x v="4"/>
    <d v="2025-09-29T00:00:00"/>
    <n v="1E-3"/>
    <x v="76"/>
    <s v="GY"/>
    <s v="Uncleared"/>
    <x v="1"/>
    <s v="LBM AP - Q4 2025 2nd 450MT"/>
    <n v="2929"/>
    <n v="1.25E-3"/>
  </r>
  <r>
    <x v="1"/>
    <x v="4"/>
    <d v="2025-09-29T00:00:00"/>
    <n v="1E-3"/>
    <x v="77"/>
    <s v="GY"/>
    <s v="Uncleared"/>
    <x v="1"/>
    <s v="LBM AP - Q4 2025 2nd 450MT"/>
    <n v="2929"/>
    <n v="1.25E-3"/>
  </r>
  <r>
    <x v="1"/>
    <x v="4"/>
    <d v="2025-09-29T00:00:00"/>
    <n v="1E-3"/>
    <x v="78"/>
    <s v="GY"/>
    <s v="Uncleared"/>
    <x v="1"/>
    <s v="LBM AP - Q4 2025 2nd 450MT"/>
    <n v="2929"/>
    <n v="1.25E-3"/>
  </r>
  <r>
    <x v="0"/>
    <x v="5"/>
    <d v="2025-10-13T00:00:00"/>
    <n v="5"/>
    <x v="85"/>
    <s v="GY"/>
    <s v="Uncleared"/>
    <x v="1"/>
    <s v="LBM AP - Q4 2025 2nd 450MT"/>
    <n v="2929"/>
    <n v="5.13"/>
  </r>
  <r>
    <x v="0"/>
    <x v="5"/>
    <d v="2025-10-13T00:00:00"/>
    <n v="5"/>
    <x v="86"/>
    <s v="GY"/>
    <s v="Uncleared"/>
    <x v="1"/>
    <s v="LBM AP - Q4 2025 2nd 450MT"/>
    <n v="2929"/>
    <n v="5.13"/>
  </r>
  <r>
    <x v="0"/>
    <x v="5"/>
    <d v="2025-10-13T00:00:00"/>
    <n v="5"/>
    <x v="87"/>
    <s v="GY"/>
    <s v="Uncleared"/>
    <x v="1"/>
    <s v="LBM AP - Q4 2025 2nd 450MT"/>
    <n v="2929"/>
    <n v="5.13"/>
  </r>
  <r>
    <x v="0"/>
    <x v="5"/>
    <d v="2025-10-13T00:00:00"/>
    <n v="5"/>
    <x v="88"/>
    <s v="GY"/>
    <s v="Uncleared"/>
    <x v="1"/>
    <s v="LBM AP - Q4 2025 2nd 450MT"/>
    <n v="2929"/>
    <n v="5.13"/>
  </r>
  <r>
    <x v="0"/>
    <x v="5"/>
    <d v="2025-10-13T00:00:00"/>
    <n v="5"/>
    <x v="89"/>
    <s v="GY"/>
    <s v="Uncleared"/>
    <x v="1"/>
    <s v="LBM AP - Q4 2025 2nd 450MT"/>
    <n v="2929"/>
    <n v="5.13"/>
  </r>
  <r>
    <x v="1"/>
    <x v="5"/>
    <d v="2025-10-13T00:00:00"/>
    <n v="1E-3"/>
    <x v="85"/>
    <s v="GY"/>
    <s v="Uncleared"/>
    <x v="1"/>
    <s v="LBM AP - Q4 2025 2nd 450MT"/>
    <n v="2929"/>
    <n v="1.25E-3"/>
  </r>
  <r>
    <x v="1"/>
    <x v="5"/>
    <d v="2025-10-13T00:00:00"/>
    <n v="1E-3"/>
    <x v="86"/>
    <s v="GY"/>
    <s v="Uncleared"/>
    <x v="1"/>
    <s v="LBM AP - Q4 2025 2nd 450MT"/>
    <n v="2929"/>
    <n v="1.25E-3"/>
  </r>
  <r>
    <x v="1"/>
    <x v="5"/>
    <d v="2025-10-13T00:00:00"/>
    <n v="1E-3"/>
    <x v="87"/>
    <s v="GY"/>
    <s v="Uncleared"/>
    <x v="1"/>
    <s v="LBM AP - Q4 2025 2nd 450MT"/>
    <n v="2929"/>
    <n v="1.25E-3"/>
  </r>
  <r>
    <x v="1"/>
    <x v="5"/>
    <d v="2025-10-13T00:00:00"/>
    <n v="1E-3"/>
    <x v="88"/>
    <s v="GY"/>
    <s v="Uncleared"/>
    <x v="1"/>
    <s v="LBM AP - Q4 2025 2nd 450MT"/>
    <n v="2929"/>
    <n v="1.25E-3"/>
  </r>
  <r>
    <x v="1"/>
    <x v="5"/>
    <d v="2025-10-13T00:00:00"/>
    <n v="1E-3"/>
    <x v="89"/>
    <s v="GY"/>
    <s v="Uncleared"/>
    <x v="1"/>
    <s v="LBM AP - Q4 2025 2nd 450MT"/>
    <n v="2929"/>
    <n v="1.25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5E33D-B78A-498D-BE47-78625EBE375C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N3:S12" firstHeaderRow="0" firstDataRow="1" firstDataCol="4"/>
  <pivotFields count="11">
    <pivotField axis="axisRow" compact="0" outline="0" subtotalTop="0" showAll="0" defaultSubtotal="0">
      <items count="2">
        <item x="0"/>
        <item x="1"/>
      </items>
    </pivotField>
    <pivotField axis="axisRow" compact="0" outline="0" subtotalTop="0" showAll="0">
      <items count="11">
        <item sd="0" m="1" x="9"/>
        <item sd="0" m="1" x="8"/>
        <item sd="0" m="1" x="6"/>
        <item sd="0" m="1" x="7"/>
        <item sd="0" x="1"/>
        <item sd="0" x="2"/>
        <item sd="0" x="0"/>
        <item sd="0" x="3"/>
        <item sd="0" x="4"/>
        <item sd="0" x="5"/>
        <item t="default" sd="0"/>
      </items>
    </pivotField>
    <pivotField compact="0" numFmtId="14" outline="0" subtotalTop="0" showAll="0"/>
    <pivotField dataField="1" compact="0" outline="0" subtotalTop="0" showAll="0"/>
    <pivotField axis="axisRow" compact="0" outline="0" subtotalTop="0" showAll="0">
      <items count="91">
        <item x="18"/>
        <item x="19"/>
        <item x="20"/>
        <item x="21"/>
        <item x="22"/>
        <item x="23"/>
        <item x="24"/>
        <item x="25"/>
        <item x="26"/>
        <item x="27"/>
        <item x="28"/>
        <item x="40"/>
        <item x="29"/>
        <item x="30"/>
        <item x="31"/>
        <item x="32"/>
        <item x="41"/>
        <item x="33"/>
        <item x="42"/>
        <item x="34"/>
        <item x="43"/>
        <item x="35"/>
        <item x="36"/>
        <item x="37"/>
        <item x="38"/>
        <item x="39"/>
        <item x="44"/>
        <item x="45"/>
        <item x="46"/>
        <item x="47"/>
        <item x="48"/>
        <item x="49"/>
        <item x="50"/>
        <item x="51"/>
        <item x="12"/>
        <item x="13"/>
        <item x="0"/>
        <item x="1"/>
        <item x="2"/>
        <item x="3"/>
        <item x="14"/>
        <item x="15"/>
        <item x="4"/>
        <item x="5"/>
        <item x="6"/>
        <item x="7"/>
        <item x="8"/>
        <item x="9"/>
        <item x="10"/>
        <item x="11"/>
        <item x="16"/>
        <item x="17"/>
        <item x="52"/>
        <item x="53"/>
        <item x="54"/>
        <item x="60"/>
        <item x="61"/>
        <item x="62"/>
        <item x="63"/>
        <item x="64"/>
        <item x="65"/>
        <item x="66"/>
        <item x="67"/>
        <item x="68"/>
        <item x="69"/>
        <item x="79"/>
        <item x="80"/>
        <item x="81"/>
        <item x="55"/>
        <item x="56"/>
        <item x="57"/>
        <item x="58"/>
        <item x="59"/>
        <item x="82"/>
        <item x="83"/>
        <item x="84"/>
        <item x="70"/>
        <item x="71"/>
        <item x="72"/>
        <item x="73"/>
        <item x="74"/>
        <item x="75"/>
        <item x="76"/>
        <item x="77"/>
        <item x="78"/>
        <item x="85"/>
        <item x="86"/>
        <item x="87"/>
        <item x="88"/>
        <item x="89"/>
        <item t="default"/>
      </items>
    </pivotField>
    <pivotField compact="0" outline="0" subtotalTop="0" showAll="0"/>
    <pivotField compact="0" outline="0" subtotalTop="0" showAll="0"/>
    <pivotField axis="axisRow" compact="0" outline="0" subtotalTop="0" showAll="0">
      <items count="6">
        <item x="0"/>
        <item m="1" x="4"/>
        <item m="1" x="3"/>
        <item m="1" x="2"/>
        <item x="1"/>
        <item t="default"/>
      </items>
    </pivotField>
    <pivotField compact="0" outline="0" subtotalTop="0" showAll="0"/>
    <pivotField compact="0" outline="0" subtotalTop="0" showAll="0"/>
    <pivotField dataField="1" compact="0" numFmtId="179" outline="0" subtotalTop="0" showAll="0"/>
  </pivotFields>
  <rowFields count="4">
    <field x="7"/>
    <field x="1"/>
    <field x="0"/>
    <field x="4"/>
  </rowFields>
  <rowItems count="9">
    <i>
      <x/>
      <x v="6"/>
    </i>
    <i t="default">
      <x/>
    </i>
    <i>
      <x v="4"/>
      <x v="4"/>
    </i>
    <i r="1">
      <x v="5"/>
    </i>
    <i r="1">
      <x v="7"/>
    </i>
    <i r="1">
      <x v="8"/>
    </i>
    <i r="1">
      <x v="9"/>
    </i>
    <i t="default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QTY (MT)" fld="3" baseField="0" baseItem="0"/>
    <dataField name="합계 : GW" fld="10" baseField="0" baseItem="0" numFmtId="17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D24F7-9222-4644-8FF7-129A52838773}" name="표1_34" displayName="표1_34" ref="A3:K183" totalsRowShown="0" headerRowDxfId="15" dataDxfId="14" headerRowBorderDxfId="12" tableBorderDxfId="13" totalsRowBorderDxfId="11">
  <autoFilter ref="A3:K183" xr:uid="{8878A2C8-7526-4403-9E09-7966A055A8AC}"/>
  <tableColumns count="11">
    <tableColumn id="1" xr3:uid="{741ED4AB-ED22-458E-998B-643F4431018B}" name="Product" dataDxfId="10"/>
    <tableColumn id="2" xr3:uid="{197D5E6A-AB0F-49F7-8BDB-3AA833B012CE}" name="SAP NO" dataDxfId="9"/>
    <tableColumn id="3" xr3:uid="{4CB3470B-A791-4E97-9B64-EA6367E033D0}" name="Date in stock" dataDxfId="8"/>
    <tableColumn id="4" xr3:uid="{ACFE9B02-F244-43EF-946A-8BD3BB6B8C33}" name="QTY (MT)" dataDxfId="7"/>
    <tableColumn id="5" xr3:uid="{255298A7-D085-428F-BD14-C9171B3FD667}" name="Lot No" dataDxfId="6"/>
    <tableColumn id="6" xr3:uid="{2029B610-CCC1-41DE-973C-84C650838028}" name="WH" dataDxfId="5"/>
    <tableColumn id="7" xr3:uid="{579EF41A-3190-47E3-811F-78581B30DDC4}" name="Customs" dataDxfId="4"/>
    <tableColumn id="11" xr3:uid="{1EA08808-F632-4BEF-A033-76BF6EBDD223}" name="Export " dataDxfId="3"/>
    <tableColumn id="8" xr3:uid="{65325411-F0EB-4C41-B744-33448BB7DE0B}" name="SOLD TO" dataDxfId="2"/>
    <tableColumn id="9" xr3:uid="{A7F1DA9B-524B-4DCA-BBBF-C00CB90B698C}" name="SALE REF" dataDxfId="1"/>
    <tableColumn id="10" xr3:uid="{330354B4-E8B0-4925-94ED-5EFBA9538131}" name="GW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5BA0-338C-4AE2-88ED-39F54AA9F8EF}">
  <sheetPr>
    <tabColor rgb="FFFFC000"/>
  </sheetPr>
  <dimension ref="A1:S184"/>
  <sheetViews>
    <sheetView tabSelected="1" workbookViewId="0">
      <selection activeCell="M1" sqref="M1:M1048576"/>
    </sheetView>
  </sheetViews>
  <sheetFormatPr defaultRowHeight="16.5" x14ac:dyDescent="0.3"/>
  <cols>
    <col min="1" max="1" width="15.625" bestFit="1" customWidth="1"/>
    <col min="2" max="2" width="13.75" bestFit="1" customWidth="1"/>
    <col min="3" max="3" width="16.875" bestFit="1" customWidth="1"/>
    <col min="4" max="4" width="14.75" bestFit="1" customWidth="1"/>
    <col min="5" max="5" width="11.25" bestFit="1" customWidth="1"/>
    <col min="6" max="6" width="8.875" bestFit="1" customWidth="1"/>
    <col min="7" max="7" width="13.125" bestFit="1" customWidth="1"/>
    <col min="8" max="8" width="13.125" customWidth="1"/>
    <col min="9" max="9" width="34.125" bestFit="1" customWidth="1"/>
    <col min="10" max="10" width="13.25" bestFit="1" customWidth="1"/>
    <col min="11" max="11" width="13.625" bestFit="1" customWidth="1"/>
    <col min="12" max="12" width="13.625" customWidth="1"/>
    <col min="13" max="13" width="11.625" bestFit="1" customWidth="1"/>
    <col min="14" max="14" width="19.125" bestFit="1" customWidth="1"/>
    <col min="15" max="15" width="17.75" bestFit="1" customWidth="1"/>
    <col min="16" max="16" width="12.875" bestFit="1" customWidth="1"/>
    <col min="17" max="17" width="9.125" bestFit="1" customWidth="1"/>
    <col min="18" max="18" width="14.875" bestFit="1" customWidth="1"/>
    <col min="19" max="19" width="12" bestFit="1" customWidth="1"/>
    <col min="20" max="20" width="14.875" bestFit="1" customWidth="1"/>
    <col min="21" max="21" width="19.75" bestFit="1" customWidth="1"/>
    <col min="22" max="22" width="14.875" bestFit="1" customWidth="1"/>
  </cols>
  <sheetData>
    <row r="1" spans="1:19" ht="46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9" ht="20.25" x14ac:dyDescent="0.3">
      <c r="A2" s="3"/>
      <c r="B2" s="3"/>
      <c r="C2" s="3"/>
      <c r="D2" s="4">
        <f>SUBTOTAL(9,D4:D183)</f>
        <v>450.08999999999889</v>
      </c>
      <c r="E2" s="3"/>
      <c r="F2" s="3"/>
      <c r="G2" s="3"/>
      <c r="H2" s="3"/>
      <c r="I2" s="3"/>
      <c r="J2" s="3"/>
      <c r="K2" s="4">
        <f>SUBTOTAL(9,K4:K183)</f>
        <v>461.81250000000102</v>
      </c>
      <c r="L2" s="5"/>
    </row>
    <row r="3" spans="1:19" ht="24" customHeight="1" x14ac:dyDescent="0.3">
      <c r="A3" s="6" t="s">
        <v>1</v>
      </c>
      <c r="B3" s="6" t="s">
        <v>2</v>
      </c>
      <c r="C3" s="7" t="s">
        <v>3</v>
      </c>
      <c r="D3" s="8" t="s">
        <v>4</v>
      </c>
      <c r="E3" s="9" t="s">
        <v>5</v>
      </c>
      <c r="F3" s="10" t="s">
        <v>6</v>
      </c>
      <c r="G3" s="10" t="s">
        <v>7</v>
      </c>
      <c r="H3" s="10" t="s">
        <v>8</v>
      </c>
      <c r="I3" s="11" t="s">
        <v>9</v>
      </c>
      <c r="J3" s="11" t="s">
        <v>10</v>
      </c>
      <c r="K3" s="12" t="s">
        <v>11</v>
      </c>
      <c r="L3" s="13"/>
      <c r="N3" t="s">
        <v>8</v>
      </c>
      <c r="O3" t="s">
        <v>2</v>
      </c>
      <c r="P3" t="s">
        <v>1</v>
      </c>
      <c r="Q3" t="s">
        <v>5</v>
      </c>
      <c r="R3" t="s">
        <v>12</v>
      </c>
      <c r="S3" t="s">
        <v>13</v>
      </c>
    </row>
    <row r="4" spans="1:19" x14ac:dyDescent="0.3">
      <c r="A4" s="14" t="s">
        <v>14</v>
      </c>
      <c r="B4" s="15">
        <v>2200032833</v>
      </c>
      <c r="C4" s="16">
        <v>45918</v>
      </c>
      <c r="D4" s="17">
        <v>5</v>
      </c>
      <c r="E4" s="15">
        <v>1125072340</v>
      </c>
      <c r="F4" s="18" t="s">
        <v>15</v>
      </c>
      <c r="G4" s="18" t="s">
        <v>16</v>
      </c>
      <c r="H4" s="18" t="s">
        <v>17</v>
      </c>
      <c r="I4" s="19" t="s">
        <v>18</v>
      </c>
      <c r="J4" s="19">
        <v>2929</v>
      </c>
      <c r="K4" s="20">
        <v>5.13</v>
      </c>
      <c r="L4" s="21"/>
      <c r="N4" t="s">
        <v>17</v>
      </c>
      <c r="O4">
        <v>2200032833</v>
      </c>
      <c r="R4">
        <v>90.018000000000001</v>
      </c>
      <c r="S4" s="22">
        <v>92.362499999999969</v>
      </c>
    </row>
    <row r="5" spans="1:19" x14ac:dyDescent="0.3">
      <c r="A5" s="14" t="s">
        <v>14</v>
      </c>
      <c r="B5" s="15">
        <v>2200032833</v>
      </c>
      <c r="C5" s="16">
        <v>45918</v>
      </c>
      <c r="D5" s="17">
        <v>5</v>
      </c>
      <c r="E5" s="15">
        <v>1125072341</v>
      </c>
      <c r="F5" s="18" t="s">
        <v>15</v>
      </c>
      <c r="G5" s="18" t="s">
        <v>16</v>
      </c>
      <c r="H5" s="18" t="s">
        <v>17</v>
      </c>
      <c r="I5" s="19" t="s">
        <v>18</v>
      </c>
      <c r="J5" s="19">
        <v>2929</v>
      </c>
      <c r="K5" s="20">
        <v>5.13</v>
      </c>
      <c r="L5" s="21"/>
      <c r="N5" t="s">
        <v>19</v>
      </c>
      <c r="R5">
        <v>90.018000000000001</v>
      </c>
      <c r="S5" s="22">
        <v>92.362499999999969</v>
      </c>
    </row>
    <row r="6" spans="1:19" x14ac:dyDescent="0.3">
      <c r="A6" s="14" t="s">
        <v>14</v>
      </c>
      <c r="B6" s="15">
        <v>2200032833</v>
      </c>
      <c r="C6" s="16">
        <v>45918</v>
      </c>
      <c r="D6" s="17">
        <v>5</v>
      </c>
      <c r="E6" s="15">
        <v>1125072342</v>
      </c>
      <c r="F6" s="18" t="s">
        <v>15</v>
      </c>
      <c r="G6" s="18" t="s">
        <v>16</v>
      </c>
      <c r="H6" s="18" t="s">
        <v>17</v>
      </c>
      <c r="I6" s="19" t="s">
        <v>18</v>
      </c>
      <c r="J6" s="19">
        <v>2929</v>
      </c>
      <c r="K6" s="20">
        <v>5.13</v>
      </c>
      <c r="L6" s="21"/>
      <c r="N6" t="s">
        <v>20</v>
      </c>
      <c r="O6">
        <v>2200032685</v>
      </c>
      <c r="R6">
        <v>110.02200000000011</v>
      </c>
      <c r="S6" s="22">
        <v>112.88749999999995</v>
      </c>
    </row>
    <row r="7" spans="1:19" x14ac:dyDescent="0.3">
      <c r="A7" s="14" t="s">
        <v>14</v>
      </c>
      <c r="B7" s="15">
        <v>2200032833</v>
      </c>
      <c r="C7" s="16">
        <v>45918</v>
      </c>
      <c r="D7" s="17">
        <v>5</v>
      </c>
      <c r="E7" s="15">
        <v>1125072343</v>
      </c>
      <c r="F7" s="18" t="s">
        <v>15</v>
      </c>
      <c r="G7" s="18" t="s">
        <v>16</v>
      </c>
      <c r="H7" s="18" t="s">
        <v>17</v>
      </c>
      <c r="I7" s="19" t="s">
        <v>18</v>
      </c>
      <c r="J7" s="19">
        <v>2929</v>
      </c>
      <c r="K7" s="20">
        <v>5.13</v>
      </c>
      <c r="L7" s="21"/>
      <c r="O7">
        <v>2200032684</v>
      </c>
      <c r="R7">
        <v>60.011999999999972</v>
      </c>
      <c r="S7" s="22">
        <v>61.574999999999996</v>
      </c>
    </row>
    <row r="8" spans="1:19" x14ac:dyDescent="0.3">
      <c r="A8" s="14" t="s">
        <v>14</v>
      </c>
      <c r="B8" s="15">
        <v>2200032833</v>
      </c>
      <c r="C8" s="16">
        <v>45918</v>
      </c>
      <c r="D8" s="17">
        <v>5</v>
      </c>
      <c r="E8" s="15">
        <v>1125072405</v>
      </c>
      <c r="F8" s="18" t="s">
        <v>15</v>
      </c>
      <c r="G8" s="18" t="s">
        <v>16</v>
      </c>
      <c r="H8" s="18" t="s">
        <v>17</v>
      </c>
      <c r="I8" s="19" t="s">
        <v>18</v>
      </c>
      <c r="J8" s="19">
        <v>2929</v>
      </c>
      <c r="K8" s="20">
        <v>5.13</v>
      </c>
      <c r="L8" s="21"/>
      <c r="O8">
        <v>2200032900</v>
      </c>
      <c r="R8">
        <v>95.01900000000002</v>
      </c>
      <c r="S8" s="22">
        <v>97.493749999999963</v>
      </c>
    </row>
    <row r="9" spans="1:19" x14ac:dyDescent="0.3">
      <c r="A9" s="14" t="s">
        <v>14</v>
      </c>
      <c r="B9" s="15">
        <v>2200032833</v>
      </c>
      <c r="C9" s="16">
        <v>45918</v>
      </c>
      <c r="D9" s="17">
        <v>5</v>
      </c>
      <c r="E9" s="15">
        <v>1125072406</v>
      </c>
      <c r="F9" s="18" t="s">
        <v>15</v>
      </c>
      <c r="G9" s="18" t="s">
        <v>16</v>
      </c>
      <c r="H9" s="18" t="s">
        <v>17</v>
      </c>
      <c r="I9" s="19" t="s">
        <v>18</v>
      </c>
      <c r="J9" s="19">
        <v>2929</v>
      </c>
      <c r="K9" s="20">
        <v>5.13</v>
      </c>
      <c r="L9" s="21"/>
      <c r="O9">
        <v>2200032901</v>
      </c>
      <c r="R9">
        <v>70.014000000000053</v>
      </c>
      <c r="S9" s="22">
        <v>71.837499999999991</v>
      </c>
    </row>
    <row r="10" spans="1:19" x14ac:dyDescent="0.3">
      <c r="A10" s="14" t="s">
        <v>14</v>
      </c>
      <c r="B10" s="15">
        <v>2200032833</v>
      </c>
      <c r="C10" s="16">
        <v>45918</v>
      </c>
      <c r="D10" s="17">
        <v>5</v>
      </c>
      <c r="E10" s="15">
        <v>1125072407</v>
      </c>
      <c r="F10" s="18" t="s">
        <v>15</v>
      </c>
      <c r="G10" s="18" t="s">
        <v>16</v>
      </c>
      <c r="H10" s="18" t="s">
        <v>17</v>
      </c>
      <c r="I10" s="19" t="s">
        <v>18</v>
      </c>
      <c r="J10" s="19">
        <v>2929</v>
      </c>
      <c r="K10" s="20">
        <v>5.13</v>
      </c>
      <c r="L10" s="21"/>
      <c r="O10">
        <v>2200032902</v>
      </c>
      <c r="R10">
        <v>25.005000000000006</v>
      </c>
      <c r="S10" s="22">
        <v>25.656249999999993</v>
      </c>
    </row>
    <row r="11" spans="1:19" x14ac:dyDescent="0.3">
      <c r="A11" s="14" t="s">
        <v>14</v>
      </c>
      <c r="B11" s="15">
        <v>2200032833</v>
      </c>
      <c r="C11" s="16">
        <v>45918</v>
      </c>
      <c r="D11" s="17">
        <v>5</v>
      </c>
      <c r="E11" s="15">
        <v>1125072408</v>
      </c>
      <c r="F11" s="18" t="s">
        <v>15</v>
      </c>
      <c r="G11" s="18" t="s">
        <v>16</v>
      </c>
      <c r="H11" s="18" t="s">
        <v>17</v>
      </c>
      <c r="I11" s="19" t="s">
        <v>18</v>
      </c>
      <c r="J11" s="19">
        <v>2929</v>
      </c>
      <c r="K11" s="20">
        <v>5.13</v>
      </c>
      <c r="L11" s="21"/>
      <c r="N11" t="s">
        <v>21</v>
      </c>
      <c r="R11">
        <v>360.07200000000017</v>
      </c>
      <c r="S11" s="22">
        <v>369.44999999999987</v>
      </c>
    </row>
    <row r="12" spans="1:19" x14ac:dyDescent="0.3">
      <c r="A12" s="14" t="s">
        <v>14</v>
      </c>
      <c r="B12" s="15">
        <v>2200032833</v>
      </c>
      <c r="C12" s="16">
        <v>45918</v>
      </c>
      <c r="D12" s="17">
        <v>5</v>
      </c>
      <c r="E12" s="15">
        <v>1125072409</v>
      </c>
      <c r="F12" s="18" t="s">
        <v>15</v>
      </c>
      <c r="G12" s="18" t="s">
        <v>16</v>
      </c>
      <c r="H12" s="18" t="s">
        <v>17</v>
      </c>
      <c r="I12" s="19" t="s">
        <v>18</v>
      </c>
      <c r="J12" s="19">
        <v>2929</v>
      </c>
      <c r="K12" s="20">
        <v>5.13</v>
      </c>
      <c r="L12" s="21"/>
      <c r="N12" t="s">
        <v>22</v>
      </c>
      <c r="R12">
        <v>450.09000000000015</v>
      </c>
      <c r="S12" s="22">
        <v>461.81249999999989</v>
      </c>
    </row>
    <row r="13" spans="1:19" x14ac:dyDescent="0.3">
      <c r="A13" s="14" t="s">
        <v>14</v>
      </c>
      <c r="B13" s="15">
        <v>2200032833</v>
      </c>
      <c r="C13" s="16">
        <v>45918</v>
      </c>
      <c r="D13" s="17">
        <v>5</v>
      </c>
      <c r="E13" s="15">
        <v>1125072410</v>
      </c>
      <c r="F13" s="18" t="s">
        <v>15</v>
      </c>
      <c r="G13" s="18" t="s">
        <v>16</v>
      </c>
      <c r="H13" s="18" t="s">
        <v>17</v>
      </c>
      <c r="I13" s="19" t="s">
        <v>18</v>
      </c>
      <c r="J13" s="19">
        <v>2929</v>
      </c>
      <c r="K13" s="20">
        <v>5.13</v>
      </c>
      <c r="L13" s="21"/>
    </row>
    <row r="14" spans="1:19" x14ac:dyDescent="0.3">
      <c r="A14" s="14" t="s">
        <v>14</v>
      </c>
      <c r="B14" s="15">
        <v>2200032833</v>
      </c>
      <c r="C14" s="16">
        <v>45918</v>
      </c>
      <c r="D14" s="17">
        <v>5</v>
      </c>
      <c r="E14" s="15">
        <v>1125072411</v>
      </c>
      <c r="F14" s="18" t="s">
        <v>15</v>
      </c>
      <c r="G14" s="18" t="s">
        <v>16</v>
      </c>
      <c r="H14" s="18" t="s">
        <v>17</v>
      </c>
      <c r="I14" s="19" t="s">
        <v>18</v>
      </c>
      <c r="J14" s="19">
        <v>2929</v>
      </c>
      <c r="K14" s="20">
        <v>5.13</v>
      </c>
      <c r="L14" s="21"/>
    </row>
    <row r="15" spans="1:19" x14ac:dyDescent="0.3">
      <c r="A15" s="14" t="s">
        <v>14</v>
      </c>
      <c r="B15" s="15">
        <v>2200032833</v>
      </c>
      <c r="C15" s="16">
        <v>45918</v>
      </c>
      <c r="D15" s="17">
        <v>5</v>
      </c>
      <c r="E15" s="15">
        <v>1125072412</v>
      </c>
      <c r="F15" s="18" t="s">
        <v>15</v>
      </c>
      <c r="G15" s="18" t="s">
        <v>16</v>
      </c>
      <c r="H15" s="18" t="s">
        <v>17</v>
      </c>
      <c r="I15" s="19" t="s">
        <v>18</v>
      </c>
      <c r="J15" s="19">
        <v>2929</v>
      </c>
      <c r="K15" s="20">
        <v>5.13</v>
      </c>
      <c r="L15" s="21"/>
    </row>
    <row r="16" spans="1:19" x14ac:dyDescent="0.3">
      <c r="A16" s="14" t="s">
        <v>23</v>
      </c>
      <c r="B16" s="15">
        <v>2200032833</v>
      </c>
      <c r="C16" s="16">
        <v>45918</v>
      </c>
      <c r="D16" s="17">
        <v>1E-3</v>
      </c>
      <c r="E16" s="15">
        <v>1125072340</v>
      </c>
      <c r="F16" s="18" t="s">
        <v>15</v>
      </c>
      <c r="G16" s="18" t="s">
        <v>16</v>
      </c>
      <c r="H16" s="18" t="s">
        <v>17</v>
      </c>
      <c r="I16" s="19" t="s">
        <v>18</v>
      </c>
      <c r="J16" s="19">
        <v>2929</v>
      </c>
      <c r="K16" s="20">
        <v>1.25E-3</v>
      </c>
      <c r="L16" s="21"/>
    </row>
    <row r="17" spans="1:16" x14ac:dyDescent="0.3">
      <c r="A17" s="14" t="s">
        <v>23</v>
      </c>
      <c r="B17" s="15">
        <v>2200032833</v>
      </c>
      <c r="C17" s="16">
        <v>45918</v>
      </c>
      <c r="D17" s="17">
        <v>1E-3</v>
      </c>
      <c r="E17" s="15">
        <v>1125072341</v>
      </c>
      <c r="F17" s="18" t="s">
        <v>15</v>
      </c>
      <c r="G17" s="18" t="s">
        <v>16</v>
      </c>
      <c r="H17" s="18" t="s">
        <v>17</v>
      </c>
      <c r="I17" s="19" t="s">
        <v>18</v>
      </c>
      <c r="J17" s="19">
        <v>2929</v>
      </c>
      <c r="K17" s="20">
        <v>1.25E-3</v>
      </c>
      <c r="L17" s="21"/>
    </row>
    <row r="18" spans="1:16" x14ac:dyDescent="0.3">
      <c r="A18" s="14" t="s">
        <v>23</v>
      </c>
      <c r="B18" s="15">
        <v>2200032833</v>
      </c>
      <c r="C18" s="16">
        <v>45918</v>
      </c>
      <c r="D18" s="17">
        <v>1E-3</v>
      </c>
      <c r="E18" s="15">
        <v>1125072342</v>
      </c>
      <c r="F18" s="18" t="s">
        <v>15</v>
      </c>
      <c r="G18" s="18" t="s">
        <v>16</v>
      </c>
      <c r="H18" s="18" t="s">
        <v>17</v>
      </c>
      <c r="I18" s="19" t="s">
        <v>18</v>
      </c>
      <c r="J18" s="19">
        <v>2929</v>
      </c>
      <c r="K18" s="20">
        <v>1.25E-3</v>
      </c>
      <c r="L18" s="21"/>
    </row>
    <row r="19" spans="1:16" x14ac:dyDescent="0.3">
      <c r="A19" s="14" t="s">
        <v>23</v>
      </c>
      <c r="B19" s="15">
        <v>2200032833</v>
      </c>
      <c r="C19" s="16">
        <v>45918</v>
      </c>
      <c r="D19" s="17">
        <v>1E-3</v>
      </c>
      <c r="E19" s="15">
        <v>1125072343</v>
      </c>
      <c r="F19" s="18" t="s">
        <v>15</v>
      </c>
      <c r="G19" s="18" t="s">
        <v>16</v>
      </c>
      <c r="H19" s="18" t="s">
        <v>17</v>
      </c>
      <c r="I19" s="19" t="s">
        <v>18</v>
      </c>
      <c r="J19" s="19">
        <v>2929</v>
      </c>
      <c r="K19" s="20">
        <v>1.25E-3</v>
      </c>
      <c r="L19" s="21"/>
    </row>
    <row r="20" spans="1:16" x14ac:dyDescent="0.3">
      <c r="A20" s="14" t="s">
        <v>23</v>
      </c>
      <c r="B20" s="15">
        <v>2200032833</v>
      </c>
      <c r="C20" s="16">
        <v>45918</v>
      </c>
      <c r="D20" s="17">
        <v>1E-3</v>
      </c>
      <c r="E20" s="15">
        <v>1125072405</v>
      </c>
      <c r="F20" s="18" t="s">
        <v>15</v>
      </c>
      <c r="G20" s="18" t="s">
        <v>16</v>
      </c>
      <c r="H20" s="18" t="s">
        <v>17</v>
      </c>
      <c r="I20" s="19" t="s">
        <v>18</v>
      </c>
      <c r="J20" s="19">
        <v>2929</v>
      </c>
      <c r="K20" s="20">
        <v>1.25E-3</v>
      </c>
      <c r="L20" s="21"/>
    </row>
    <row r="21" spans="1:16" x14ac:dyDescent="0.3">
      <c r="A21" s="14" t="s">
        <v>23</v>
      </c>
      <c r="B21" s="15">
        <v>2200032833</v>
      </c>
      <c r="C21" s="16">
        <v>45918</v>
      </c>
      <c r="D21" s="17">
        <v>1E-3</v>
      </c>
      <c r="E21" s="15">
        <v>1125072406</v>
      </c>
      <c r="F21" s="18" t="s">
        <v>15</v>
      </c>
      <c r="G21" s="18" t="s">
        <v>16</v>
      </c>
      <c r="H21" s="18" t="s">
        <v>17</v>
      </c>
      <c r="I21" s="19" t="s">
        <v>18</v>
      </c>
      <c r="J21" s="19">
        <v>2929</v>
      </c>
      <c r="K21" s="20">
        <v>1.25E-3</v>
      </c>
      <c r="L21" s="21"/>
    </row>
    <row r="22" spans="1:16" x14ac:dyDescent="0.3">
      <c r="A22" s="14" t="s">
        <v>23</v>
      </c>
      <c r="B22" s="15">
        <v>2200032833</v>
      </c>
      <c r="C22" s="16">
        <v>45918</v>
      </c>
      <c r="D22" s="17">
        <v>1E-3</v>
      </c>
      <c r="E22" s="15">
        <v>1125072407</v>
      </c>
      <c r="F22" s="18" t="s">
        <v>15</v>
      </c>
      <c r="G22" s="18" t="s">
        <v>16</v>
      </c>
      <c r="H22" s="18" t="s">
        <v>17</v>
      </c>
      <c r="I22" s="19" t="s">
        <v>18</v>
      </c>
      <c r="J22" s="19">
        <v>2929</v>
      </c>
      <c r="K22" s="20">
        <v>1.25E-3</v>
      </c>
      <c r="L22" s="21"/>
    </row>
    <row r="23" spans="1:16" x14ac:dyDescent="0.3">
      <c r="A23" s="14" t="s">
        <v>23</v>
      </c>
      <c r="B23" s="15">
        <v>2200032833</v>
      </c>
      <c r="C23" s="16">
        <v>45918</v>
      </c>
      <c r="D23" s="17">
        <v>1E-3</v>
      </c>
      <c r="E23" s="15">
        <v>1125072408</v>
      </c>
      <c r="F23" s="18" t="s">
        <v>15</v>
      </c>
      <c r="G23" s="18" t="s">
        <v>16</v>
      </c>
      <c r="H23" s="18" t="s">
        <v>17</v>
      </c>
      <c r="I23" s="19" t="s">
        <v>18</v>
      </c>
      <c r="J23" s="19">
        <v>2929</v>
      </c>
      <c r="K23" s="20">
        <v>1.25E-3</v>
      </c>
      <c r="L23" s="21"/>
    </row>
    <row r="24" spans="1:16" x14ac:dyDescent="0.3">
      <c r="A24" s="14" t="s">
        <v>23</v>
      </c>
      <c r="B24" s="15">
        <v>2200032833</v>
      </c>
      <c r="C24" s="16">
        <v>45918</v>
      </c>
      <c r="D24" s="17">
        <v>1E-3</v>
      </c>
      <c r="E24" s="15">
        <v>1125072409</v>
      </c>
      <c r="F24" s="18" t="s">
        <v>15</v>
      </c>
      <c r="G24" s="18" t="s">
        <v>16</v>
      </c>
      <c r="H24" s="18" t="s">
        <v>17</v>
      </c>
      <c r="I24" s="19" t="s">
        <v>18</v>
      </c>
      <c r="J24" s="19">
        <v>2929</v>
      </c>
      <c r="K24" s="20">
        <v>1.25E-3</v>
      </c>
      <c r="L24" s="21"/>
    </row>
    <row r="25" spans="1:16" x14ac:dyDescent="0.3">
      <c r="A25" s="14" t="s">
        <v>23</v>
      </c>
      <c r="B25" s="15">
        <v>2200032833</v>
      </c>
      <c r="C25" s="16">
        <v>45918</v>
      </c>
      <c r="D25" s="17">
        <v>1E-3</v>
      </c>
      <c r="E25" s="15">
        <v>1125072410</v>
      </c>
      <c r="F25" s="18" t="s">
        <v>15</v>
      </c>
      <c r="G25" s="18" t="s">
        <v>16</v>
      </c>
      <c r="H25" s="18" t="s">
        <v>17</v>
      </c>
      <c r="I25" s="19" t="s">
        <v>18</v>
      </c>
      <c r="J25" s="19">
        <v>2929</v>
      </c>
      <c r="K25" s="20">
        <v>1.25E-3</v>
      </c>
      <c r="L25" s="21"/>
    </row>
    <row r="26" spans="1:16" x14ac:dyDescent="0.3">
      <c r="A26" s="14" t="s">
        <v>23</v>
      </c>
      <c r="B26" s="15">
        <v>2200032833</v>
      </c>
      <c r="C26" s="16">
        <v>45918</v>
      </c>
      <c r="D26" s="17">
        <v>1E-3</v>
      </c>
      <c r="E26" s="15">
        <v>1125072411</v>
      </c>
      <c r="F26" s="18" t="s">
        <v>15</v>
      </c>
      <c r="G26" s="18" t="s">
        <v>16</v>
      </c>
      <c r="H26" s="18" t="s">
        <v>17</v>
      </c>
      <c r="I26" s="19" t="s">
        <v>18</v>
      </c>
      <c r="J26" s="19">
        <v>2929</v>
      </c>
      <c r="K26" s="20">
        <v>1.25E-3</v>
      </c>
      <c r="L26" s="21"/>
      <c r="N26" s="23">
        <f>+K28*2+K24</f>
        <v>10.26125</v>
      </c>
      <c r="P26">
        <f>102625/2</f>
        <v>51312.5</v>
      </c>
    </row>
    <row r="27" spans="1:16" x14ac:dyDescent="0.3">
      <c r="A27" s="14" t="s">
        <v>23</v>
      </c>
      <c r="B27" s="15">
        <v>2200032833</v>
      </c>
      <c r="C27" s="16">
        <v>45918</v>
      </c>
      <c r="D27" s="17">
        <v>1E-3</v>
      </c>
      <c r="E27" s="15">
        <v>1125072412</v>
      </c>
      <c r="F27" s="18" t="s">
        <v>15</v>
      </c>
      <c r="G27" s="18" t="s">
        <v>16</v>
      </c>
      <c r="H27" s="18" t="s">
        <v>17</v>
      </c>
      <c r="I27" s="19" t="s">
        <v>18</v>
      </c>
      <c r="J27" s="19">
        <v>2929</v>
      </c>
      <c r="K27" s="20">
        <v>1.25E-3</v>
      </c>
      <c r="L27" s="21"/>
    </row>
    <row r="28" spans="1:16" x14ac:dyDescent="0.3">
      <c r="A28" s="14" t="s">
        <v>14</v>
      </c>
      <c r="B28" s="15">
        <v>2200032833</v>
      </c>
      <c r="C28" s="16">
        <v>45919</v>
      </c>
      <c r="D28" s="17">
        <v>5</v>
      </c>
      <c r="E28" s="15">
        <v>1125072334</v>
      </c>
      <c r="F28" s="18" t="s">
        <v>15</v>
      </c>
      <c r="G28" s="18" t="s">
        <v>16</v>
      </c>
      <c r="H28" s="18" t="s">
        <v>17</v>
      </c>
      <c r="I28" s="19" t="s">
        <v>18</v>
      </c>
      <c r="J28" s="19">
        <v>2929</v>
      </c>
      <c r="K28" s="20">
        <v>5.13</v>
      </c>
      <c r="L28" s="21"/>
    </row>
    <row r="29" spans="1:16" x14ac:dyDescent="0.3">
      <c r="A29" s="14" t="s">
        <v>14</v>
      </c>
      <c r="B29" s="15">
        <v>2200032833</v>
      </c>
      <c r="C29" s="16">
        <v>45919</v>
      </c>
      <c r="D29" s="17">
        <v>5</v>
      </c>
      <c r="E29" s="15">
        <v>1125072335</v>
      </c>
      <c r="F29" s="18" t="s">
        <v>15</v>
      </c>
      <c r="G29" s="18" t="s">
        <v>16</v>
      </c>
      <c r="H29" s="18" t="s">
        <v>17</v>
      </c>
      <c r="I29" s="19" t="s">
        <v>18</v>
      </c>
      <c r="J29" s="19">
        <v>2929</v>
      </c>
      <c r="K29" s="20">
        <v>5.13</v>
      </c>
      <c r="L29" s="21"/>
    </row>
    <row r="30" spans="1:16" x14ac:dyDescent="0.3">
      <c r="A30" s="14" t="s">
        <v>14</v>
      </c>
      <c r="B30" s="15">
        <v>2200032833</v>
      </c>
      <c r="C30" s="16">
        <v>45919</v>
      </c>
      <c r="D30" s="17">
        <v>5</v>
      </c>
      <c r="E30" s="15">
        <v>1125072403</v>
      </c>
      <c r="F30" s="18" t="s">
        <v>15</v>
      </c>
      <c r="G30" s="18" t="s">
        <v>16</v>
      </c>
      <c r="H30" s="18" t="s">
        <v>17</v>
      </c>
      <c r="I30" s="19" t="s">
        <v>18</v>
      </c>
      <c r="J30" s="19">
        <v>2929</v>
      </c>
      <c r="K30" s="20">
        <v>5.13</v>
      </c>
      <c r="L30" s="21"/>
    </row>
    <row r="31" spans="1:16" x14ac:dyDescent="0.3">
      <c r="A31" s="14" t="s">
        <v>14</v>
      </c>
      <c r="B31" s="15">
        <v>2200032833</v>
      </c>
      <c r="C31" s="16">
        <v>45919</v>
      </c>
      <c r="D31" s="17">
        <v>5</v>
      </c>
      <c r="E31" s="15">
        <v>1125072404</v>
      </c>
      <c r="F31" s="18" t="s">
        <v>15</v>
      </c>
      <c r="G31" s="18" t="s">
        <v>16</v>
      </c>
      <c r="H31" s="18" t="s">
        <v>17</v>
      </c>
      <c r="I31" s="19" t="s">
        <v>18</v>
      </c>
      <c r="J31" s="19">
        <v>2929</v>
      </c>
      <c r="K31" s="20">
        <v>5.13</v>
      </c>
      <c r="L31" s="21"/>
      <c r="N31">
        <v>500</v>
      </c>
    </row>
    <row r="32" spans="1:16" x14ac:dyDescent="0.3">
      <c r="A32" s="14" t="s">
        <v>14</v>
      </c>
      <c r="B32" s="15">
        <v>2200032833</v>
      </c>
      <c r="C32" s="16">
        <v>45919</v>
      </c>
      <c r="D32" s="17">
        <v>5</v>
      </c>
      <c r="E32" s="15">
        <v>1125072413</v>
      </c>
      <c r="F32" s="18" t="s">
        <v>15</v>
      </c>
      <c r="G32" s="18" t="s">
        <v>16</v>
      </c>
      <c r="H32" s="18" t="s">
        <v>17</v>
      </c>
      <c r="I32" s="19" t="s">
        <v>18</v>
      </c>
      <c r="J32" s="19">
        <v>2929</v>
      </c>
      <c r="K32" s="20">
        <v>5.13</v>
      </c>
      <c r="L32" s="21"/>
      <c r="N32">
        <v>1</v>
      </c>
    </row>
    <row r="33" spans="1:12" x14ac:dyDescent="0.3">
      <c r="A33" s="14" t="s">
        <v>14</v>
      </c>
      <c r="B33" s="15">
        <v>2200032833</v>
      </c>
      <c r="C33" s="16">
        <v>45919</v>
      </c>
      <c r="D33" s="17">
        <v>5</v>
      </c>
      <c r="E33" s="15">
        <v>1125072414</v>
      </c>
      <c r="F33" s="18" t="s">
        <v>15</v>
      </c>
      <c r="G33" s="18" t="s">
        <v>16</v>
      </c>
      <c r="H33" s="18" t="s">
        <v>17</v>
      </c>
      <c r="I33" s="19" t="s">
        <v>18</v>
      </c>
      <c r="J33" s="19">
        <v>2929</v>
      </c>
      <c r="K33" s="20">
        <v>5.13</v>
      </c>
      <c r="L33" s="21"/>
    </row>
    <row r="34" spans="1:12" x14ac:dyDescent="0.3">
      <c r="A34" s="14" t="s">
        <v>23</v>
      </c>
      <c r="B34" s="15">
        <v>2200032833</v>
      </c>
      <c r="C34" s="16">
        <v>45919</v>
      </c>
      <c r="D34" s="17">
        <v>1E-3</v>
      </c>
      <c r="E34" s="15">
        <v>1125072334</v>
      </c>
      <c r="F34" s="18" t="s">
        <v>15</v>
      </c>
      <c r="G34" s="18" t="s">
        <v>16</v>
      </c>
      <c r="H34" s="18" t="s">
        <v>17</v>
      </c>
      <c r="I34" s="19" t="s">
        <v>18</v>
      </c>
      <c r="J34" s="19">
        <v>2929</v>
      </c>
      <c r="K34" s="20">
        <v>1.25E-3</v>
      </c>
      <c r="L34" s="21"/>
    </row>
    <row r="35" spans="1:12" x14ac:dyDescent="0.3">
      <c r="A35" s="14" t="s">
        <v>23</v>
      </c>
      <c r="B35" s="15">
        <v>2200032833</v>
      </c>
      <c r="C35" s="16">
        <v>45919</v>
      </c>
      <c r="D35" s="17">
        <v>1E-3</v>
      </c>
      <c r="E35" s="15">
        <v>1125072335</v>
      </c>
      <c r="F35" s="18" t="s">
        <v>15</v>
      </c>
      <c r="G35" s="18" t="s">
        <v>16</v>
      </c>
      <c r="H35" s="18" t="s">
        <v>17</v>
      </c>
      <c r="I35" s="19" t="s">
        <v>18</v>
      </c>
      <c r="J35" s="19">
        <v>2929</v>
      </c>
      <c r="K35" s="20">
        <v>1.25E-3</v>
      </c>
      <c r="L35" s="21"/>
    </row>
    <row r="36" spans="1:12" x14ac:dyDescent="0.3">
      <c r="A36" s="14" t="s">
        <v>23</v>
      </c>
      <c r="B36" s="15">
        <v>2200032833</v>
      </c>
      <c r="C36" s="16">
        <v>45919</v>
      </c>
      <c r="D36" s="17">
        <v>1E-3</v>
      </c>
      <c r="E36" s="15">
        <v>1125072403</v>
      </c>
      <c r="F36" s="18" t="s">
        <v>15</v>
      </c>
      <c r="G36" s="18" t="s">
        <v>16</v>
      </c>
      <c r="H36" s="18" t="s">
        <v>17</v>
      </c>
      <c r="I36" s="19" t="s">
        <v>18</v>
      </c>
      <c r="J36" s="19">
        <v>2929</v>
      </c>
      <c r="K36" s="20">
        <v>1.25E-3</v>
      </c>
      <c r="L36" s="21"/>
    </row>
    <row r="37" spans="1:12" x14ac:dyDescent="0.3">
      <c r="A37" s="14" t="s">
        <v>23</v>
      </c>
      <c r="B37" s="15">
        <v>2200032833</v>
      </c>
      <c r="C37" s="16">
        <v>45919</v>
      </c>
      <c r="D37" s="17">
        <v>1E-3</v>
      </c>
      <c r="E37" s="15">
        <v>1125072404</v>
      </c>
      <c r="F37" s="18" t="s">
        <v>15</v>
      </c>
      <c r="G37" s="18" t="s">
        <v>16</v>
      </c>
      <c r="H37" s="18" t="s">
        <v>17</v>
      </c>
      <c r="I37" s="19" t="s">
        <v>18</v>
      </c>
      <c r="J37" s="19">
        <v>2929</v>
      </c>
      <c r="K37" s="20">
        <v>1.25E-3</v>
      </c>
      <c r="L37" s="21"/>
    </row>
    <row r="38" spans="1:12" x14ac:dyDescent="0.3">
      <c r="A38" s="14" t="s">
        <v>23</v>
      </c>
      <c r="B38" s="15">
        <v>2200032833</v>
      </c>
      <c r="C38" s="16">
        <v>45919</v>
      </c>
      <c r="D38" s="17">
        <v>1E-3</v>
      </c>
      <c r="E38" s="15">
        <v>1125072413</v>
      </c>
      <c r="F38" s="18" t="s">
        <v>15</v>
      </c>
      <c r="G38" s="18" t="s">
        <v>16</v>
      </c>
      <c r="H38" s="18" t="s">
        <v>17</v>
      </c>
      <c r="I38" s="19" t="s">
        <v>18</v>
      </c>
      <c r="J38" s="19">
        <v>2929</v>
      </c>
      <c r="K38" s="20">
        <v>1.25E-3</v>
      </c>
      <c r="L38" s="21"/>
    </row>
    <row r="39" spans="1:12" x14ac:dyDescent="0.3">
      <c r="A39" s="14" t="s">
        <v>23</v>
      </c>
      <c r="B39" s="15">
        <v>2200032833</v>
      </c>
      <c r="C39" s="16">
        <v>45919</v>
      </c>
      <c r="D39" s="17">
        <v>1E-3</v>
      </c>
      <c r="E39" s="15">
        <v>1125072414</v>
      </c>
      <c r="F39" s="18" t="s">
        <v>15</v>
      </c>
      <c r="G39" s="18" t="s">
        <v>16</v>
      </c>
      <c r="H39" s="18" t="s">
        <v>17</v>
      </c>
      <c r="I39" s="19" t="s">
        <v>18</v>
      </c>
      <c r="J39" s="19">
        <v>2929</v>
      </c>
      <c r="K39" s="20">
        <v>1.25E-3</v>
      </c>
      <c r="L39" s="21"/>
    </row>
    <row r="40" spans="1:12" x14ac:dyDescent="0.3">
      <c r="A40" s="14" t="s">
        <v>14</v>
      </c>
      <c r="B40" s="15">
        <v>2200032685</v>
      </c>
      <c r="C40" s="16">
        <v>45922</v>
      </c>
      <c r="D40" s="17">
        <v>5</v>
      </c>
      <c r="E40" s="15">
        <v>1125072227</v>
      </c>
      <c r="F40" s="18" t="s">
        <v>15</v>
      </c>
      <c r="G40" s="18" t="s">
        <v>16</v>
      </c>
      <c r="H40" s="18" t="s">
        <v>20</v>
      </c>
      <c r="I40" s="19" t="s">
        <v>18</v>
      </c>
      <c r="J40" s="19">
        <v>2929</v>
      </c>
      <c r="K40" s="20">
        <v>5.13</v>
      </c>
      <c r="L40" s="21"/>
    </row>
    <row r="41" spans="1:12" x14ac:dyDescent="0.3">
      <c r="A41" s="14" t="s">
        <v>14</v>
      </c>
      <c r="B41" s="15">
        <v>2200032685</v>
      </c>
      <c r="C41" s="16">
        <v>45922</v>
      </c>
      <c r="D41" s="17">
        <v>5</v>
      </c>
      <c r="E41" s="15">
        <v>1125072228</v>
      </c>
      <c r="F41" s="18" t="s">
        <v>15</v>
      </c>
      <c r="G41" s="18" t="s">
        <v>16</v>
      </c>
      <c r="H41" s="18" t="s">
        <v>20</v>
      </c>
      <c r="I41" s="19" t="s">
        <v>18</v>
      </c>
      <c r="J41" s="19">
        <v>2929</v>
      </c>
      <c r="K41" s="20">
        <v>5.13</v>
      </c>
      <c r="L41" s="21"/>
    </row>
    <row r="42" spans="1:12" x14ac:dyDescent="0.3">
      <c r="A42" s="14" t="s">
        <v>14</v>
      </c>
      <c r="B42" s="15">
        <v>2200032685</v>
      </c>
      <c r="C42" s="16">
        <v>45922</v>
      </c>
      <c r="D42" s="17">
        <v>5</v>
      </c>
      <c r="E42" s="15">
        <v>1125072239</v>
      </c>
      <c r="F42" s="18" t="s">
        <v>15</v>
      </c>
      <c r="G42" s="18" t="s">
        <v>16</v>
      </c>
      <c r="H42" s="18" t="s">
        <v>20</v>
      </c>
      <c r="I42" s="19" t="s">
        <v>18</v>
      </c>
      <c r="J42" s="19">
        <v>2929</v>
      </c>
      <c r="K42" s="20">
        <v>5.13</v>
      </c>
      <c r="L42" s="21"/>
    </row>
    <row r="43" spans="1:12" x14ac:dyDescent="0.3">
      <c r="A43" s="14" t="s">
        <v>14</v>
      </c>
      <c r="B43" s="15">
        <v>2200032685</v>
      </c>
      <c r="C43" s="16">
        <v>45922</v>
      </c>
      <c r="D43" s="17">
        <v>5</v>
      </c>
      <c r="E43" s="15">
        <v>1125072240</v>
      </c>
      <c r="F43" s="18" t="s">
        <v>15</v>
      </c>
      <c r="G43" s="18" t="s">
        <v>16</v>
      </c>
      <c r="H43" s="18" t="s">
        <v>20</v>
      </c>
      <c r="I43" s="19" t="s">
        <v>18</v>
      </c>
      <c r="J43" s="19">
        <v>2929</v>
      </c>
      <c r="K43" s="20">
        <v>5.13</v>
      </c>
      <c r="L43" s="21"/>
    </row>
    <row r="44" spans="1:12" x14ac:dyDescent="0.3">
      <c r="A44" s="14" t="s">
        <v>14</v>
      </c>
      <c r="B44" s="15">
        <v>2200032685</v>
      </c>
      <c r="C44" s="16">
        <v>45922</v>
      </c>
      <c r="D44" s="17">
        <v>5</v>
      </c>
      <c r="E44" s="15">
        <v>1125072241</v>
      </c>
      <c r="F44" s="18" t="s">
        <v>15</v>
      </c>
      <c r="G44" s="18" t="s">
        <v>16</v>
      </c>
      <c r="H44" s="18" t="s">
        <v>20</v>
      </c>
      <c r="I44" s="19" t="s">
        <v>18</v>
      </c>
      <c r="J44" s="19">
        <v>2929</v>
      </c>
      <c r="K44" s="20">
        <v>5.13</v>
      </c>
      <c r="L44" s="21"/>
    </row>
    <row r="45" spans="1:12" x14ac:dyDescent="0.3">
      <c r="A45" s="14" t="s">
        <v>14</v>
      </c>
      <c r="B45" s="15">
        <v>2200032685</v>
      </c>
      <c r="C45" s="16">
        <v>45922</v>
      </c>
      <c r="D45" s="17">
        <v>5</v>
      </c>
      <c r="E45" s="15">
        <v>1125072242</v>
      </c>
      <c r="F45" s="18" t="s">
        <v>15</v>
      </c>
      <c r="G45" s="18" t="s">
        <v>16</v>
      </c>
      <c r="H45" s="18" t="s">
        <v>20</v>
      </c>
      <c r="I45" s="19" t="s">
        <v>18</v>
      </c>
      <c r="J45" s="19">
        <v>2929</v>
      </c>
      <c r="K45" s="20">
        <v>5.13</v>
      </c>
      <c r="L45" s="21"/>
    </row>
    <row r="46" spans="1:12" x14ac:dyDescent="0.3">
      <c r="A46" s="14" t="s">
        <v>14</v>
      </c>
      <c r="B46" s="15">
        <v>2200032685</v>
      </c>
      <c r="C46" s="16">
        <v>45922</v>
      </c>
      <c r="D46" s="17">
        <v>5</v>
      </c>
      <c r="E46" s="15">
        <v>1125072243</v>
      </c>
      <c r="F46" s="18" t="s">
        <v>15</v>
      </c>
      <c r="G46" s="18" t="s">
        <v>16</v>
      </c>
      <c r="H46" s="18" t="s">
        <v>20</v>
      </c>
      <c r="I46" s="19" t="s">
        <v>18</v>
      </c>
      <c r="J46" s="19">
        <v>2929</v>
      </c>
      <c r="K46" s="20">
        <v>5.13</v>
      </c>
      <c r="L46" s="21"/>
    </row>
    <row r="47" spans="1:12" x14ac:dyDescent="0.3">
      <c r="A47" s="14" t="s">
        <v>14</v>
      </c>
      <c r="B47" s="15">
        <v>2200032685</v>
      </c>
      <c r="C47" s="16">
        <v>45922</v>
      </c>
      <c r="D47" s="17">
        <v>5</v>
      </c>
      <c r="E47" s="15">
        <v>1125072244</v>
      </c>
      <c r="F47" s="18" t="s">
        <v>15</v>
      </c>
      <c r="G47" s="18" t="s">
        <v>16</v>
      </c>
      <c r="H47" s="18" t="s">
        <v>20</v>
      </c>
      <c r="I47" s="19" t="s">
        <v>18</v>
      </c>
      <c r="J47" s="19">
        <v>2929</v>
      </c>
      <c r="K47" s="20">
        <v>5.13</v>
      </c>
      <c r="L47" s="21"/>
    </row>
    <row r="48" spans="1:12" x14ac:dyDescent="0.3">
      <c r="A48" s="14" t="s">
        <v>14</v>
      </c>
      <c r="B48" s="15">
        <v>2200032685</v>
      </c>
      <c r="C48" s="16">
        <v>45922</v>
      </c>
      <c r="D48" s="17">
        <v>5</v>
      </c>
      <c r="E48" s="15">
        <v>1125072245</v>
      </c>
      <c r="F48" s="18" t="s">
        <v>15</v>
      </c>
      <c r="G48" s="18" t="s">
        <v>16</v>
      </c>
      <c r="H48" s="18" t="s">
        <v>20</v>
      </c>
      <c r="I48" s="19" t="s">
        <v>18</v>
      </c>
      <c r="J48" s="19">
        <v>2929</v>
      </c>
      <c r="K48" s="20">
        <v>5.13</v>
      </c>
      <c r="L48" s="21"/>
    </row>
    <row r="49" spans="1:15" x14ac:dyDescent="0.3">
      <c r="A49" s="14" t="s">
        <v>14</v>
      </c>
      <c r="B49" s="15">
        <v>2200032685</v>
      </c>
      <c r="C49" s="16">
        <v>45922</v>
      </c>
      <c r="D49" s="17">
        <v>5</v>
      </c>
      <c r="E49" s="15">
        <v>1125072246</v>
      </c>
      <c r="F49" s="18" t="s">
        <v>15</v>
      </c>
      <c r="G49" s="18" t="s">
        <v>16</v>
      </c>
      <c r="H49" s="18" t="s">
        <v>20</v>
      </c>
      <c r="I49" s="19" t="s">
        <v>18</v>
      </c>
      <c r="J49" s="19">
        <v>2929</v>
      </c>
      <c r="K49" s="20">
        <v>5.13</v>
      </c>
      <c r="L49" s="21"/>
    </row>
    <row r="50" spans="1:15" x14ac:dyDescent="0.3">
      <c r="A50" s="14" t="s">
        <v>14</v>
      </c>
      <c r="B50" s="15">
        <v>2200032685</v>
      </c>
      <c r="C50" s="16">
        <v>45922</v>
      </c>
      <c r="D50" s="17">
        <v>5</v>
      </c>
      <c r="E50" s="15">
        <v>1125072247</v>
      </c>
      <c r="F50" s="18" t="s">
        <v>15</v>
      </c>
      <c r="G50" s="18" t="s">
        <v>16</v>
      </c>
      <c r="H50" s="18" t="s">
        <v>20</v>
      </c>
      <c r="I50" s="19" t="s">
        <v>18</v>
      </c>
      <c r="J50" s="19">
        <v>2929</v>
      </c>
      <c r="K50" s="20">
        <v>5.13</v>
      </c>
      <c r="L50" s="21"/>
    </row>
    <row r="51" spans="1:15" x14ac:dyDescent="0.3">
      <c r="A51" s="14" t="s">
        <v>14</v>
      </c>
      <c r="B51" s="15">
        <v>2200032685</v>
      </c>
      <c r="C51" s="16">
        <v>45922</v>
      </c>
      <c r="D51" s="17">
        <v>5</v>
      </c>
      <c r="E51" s="15">
        <v>1125072249</v>
      </c>
      <c r="F51" s="18" t="s">
        <v>15</v>
      </c>
      <c r="G51" s="18" t="s">
        <v>16</v>
      </c>
      <c r="H51" s="18" t="s">
        <v>20</v>
      </c>
      <c r="I51" s="19" t="s">
        <v>18</v>
      </c>
      <c r="J51" s="19">
        <v>2929</v>
      </c>
      <c r="K51" s="20">
        <v>5.13</v>
      </c>
      <c r="L51" s="21"/>
    </row>
    <row r="52" spans="1:15" x14ac:dyDescent="0.3">
      <c r="A52" s="14" t="s">
        <v>14</v>
      </c>
      <c r="B52" s="15">
        <v>2200032685</v>
      </c>
      <c r="C52" s="16">
        <v>45922</v>
      </c>
      <c r="D52" s="17">
        <v>5</v>
      </c>
      <c r="E52" s="15">
        <v>1125072250</v>
      </c>
      <c r="F52" s="18" t="s">
        <v>15</v>
      </c>
      <c r="G52" s="18" t="s">
        <v>16</v>
      </c>
      <c r="H52" s="18" t="s">
        <v>20</v>
      </c>
      <c r="I52" s="19" t="s">
        <v>18</v>
      </c>
      <c r="J52" s="19">
        <v>2929</v>
      </c>
      <c r="K52" s="20">
        <v>5.13</v>
      </c>
      <c r="L52" s="21"/>
    </row>
    <row r="53" spans="1:15" x14ac:dyDescent="0.3">
      <c r="A53" s="14" t="s">
        <v>14</v>
      </c>
      <c r="B53" s="15">
        <v>2200032685</v>
      </c>
      <c r="C53" s="16">
        <v>45922</v>
      </c>
      <c r="D53" s="17">
        <v>5</v>
      </c>
      <c r="E53" s="15">
        <v>1125072251</v>
      </c>
      <c r="F53" s="18" t="s">
        <v>15</v>
      </c>
      <c r="G53" s="18" t="s">
        <v>16</v>
      </c>
      <c r="H53" s="18" t="s">
        <v>20</v>
      </c>
      <c r="I53" s="19" t="s">
        <v>18</v>
      </c>
      <c r="J53" s="19">
        <v>2929</v>
      </c>
      <c r="K53" s="20">
        <v>5.13</v>
      </c>
      <c r="L53" s="21"/>
    </row>
    <row r="54" spans="1:15" x14ac:dyDescent="0.3">
      <c r="A54" s="14" t="s">
        <v>14</v>
      </c>
      <c r="B54" s="15">
        <v>2200032685</v>
      </c>
      <c r="C54" s="16">
        <v>45922</v>
      </c>
      <c r="D54" s="17">
        <v>5</v>
      </c>
      <c r="E54" s="15">
        <v>1125072252</v>
      </c>
      <c r="F54" s="18" t="s">
        <v>15</v>
      </c>
      <c r="G54" s="18" t="s">
        <v>16</v>
      </c>
      <c r="H54" s="18" t="s">
        <v>20</v>
      </c>
      <c r="I54" s="19" t="s">
        <v>18</v>
      </c>
      <c r="J54" s="19">
        <v>2929</v>
      </c>
      <c r="K54" s="20">
        <v>5.13</v>
      </c>
      <c r="L54" s="21"/>
    </row>
    <row r="55" spans="1:15" x14ac:dyDescent="0.3">
      <c r="A55" s="14" t="s">
        <v>14</v>
      </c>
      <c r="B55" s="15">
        <v>2200032685</v>
      </c>
      <c r="C55" s="16">
        <v>45922</v>
      </c>
      <c r="D55" s="17">
        <v>5</v>
      </c>
      <c r="E55" s="15">
        <v>1125072254</v>
      </c>
      <c r="F55" s="18" t="s">
        <v>15</v>
      </c>
      <c r="G55" s="18" t="s">
        <v>16</v>
      </c>
      <c r="H55" s="18" t="s">
        <v>20</v>
      </c>
      <c r="I55" s="19" t="s">
        <v>18</v>
      </c>
      <c r="J55" s="19">
        <v>2929</v>
      </c>
      <c r="K55" s="20">
        <v>5.13</v>
      </c>
      <c r="L55" s="21"/>
      <c r="N55" s="24">
        <f>+표1_34[[#This Row],[GW]]/표1_34[[#This Row],[QTY (MT)]]</f>
        <v>1.026</v>
      </c>
      <c r="O55">
        <f>+N55*10</f>
        <v>10.26</v>
      </c>
    </row>
    <row r="56" spans="1:15" x14ac:dyDescent="0.3">
      <c r="A56" s="14" t="s">
        <v>14</v>
      </c>
      <c r="B56" s="15">
        <v>2200032685</v>
      </c>
      <c r="C56" s="16">
        <v>45922</v>
      </c>
      <c r="D56" s="17">
        <v>5</v>
      </c>
      <c r="E56" s="15">
        <v>1125072256</v>
      </c>
      <c r="F56" s="18" t="s">
        <v>15</v>
      </c>
      <c r="G56" s="18" t="s">
        <v>16</v>
      </c>
      <c r="H56" s="18" t="s">
        <v>20</v>
      </c>
      <c r="I56" s="19" t="s">
        <v>18</v>
      </c>
      <c r="J56" s="19">
        <v>2929</v>
      </c>
      <c r="K56" s="20">
        <v>5.13</v>
      </c>
      <c r="L56" s="21"/>
      <c r="N56">
        <f>+N55/100</f>
        <v>1.026E-2</v>
      </c>
      <c r="O56">
        <v>500</v>
      </c>
    </row>
    <row r="57" spans="1:15" x14ac:dyDescent="0.3">
      <c r="A57" s="14" t="s">
        <v>14</v>
      </c>
      <c r="B57" s="15">
        <v>2200032685</v>
      </c>
      <c r="C57" s="16">
        <v>45922</v>
      </c>
      <c r="D57" s="17">
        <v>5</v>
      </c>
      <c r="E57" s="15">
        <v>1125072301</v>
      </c>
      <c r="F57" s="18" t="s">
        <v>15</v>
      </c>
      <c r="G57" s="18" t="s">
        <v>16</v>
      </c>
      <c r="H57" s="18" t="s">
        <v>20</v>
      </c>
      <c r="I57" s="19" t="s">
        <v>18</v>
      </c>
      <c r="J57" s="19">
        <v>2929</v>
      </c>
      <c r="K57" s="20">
        <v>5.13</v>
      </c>
      <c r="L57" s="21"/>
    </row>
    <row r="58" spans="1:15" x14ac:dyDescent="0.3">
      <c r="A58" s="14" t="s">
        <v>14</v>
      </c>
      <c r="B58" s="15">
        <v>2200032685</v>
      </c>
      <c r="C58" s="16">
        <v>45922</v>
      </c>
      <c r="D58" s="17">
        <v>5</v>
      </c>
      <c r="E58" s="15">
        <v>1125072302</v>
      </c>
      <c r="F58" s="18" t="s">
        <v>15</v>
      </c>
      <c r="G58" s="18" t="s">
        <v>16</v>
      </c>
      <c r="H58" s="18" t="s">
        <v>20</v>
      </c>
      <c r="I58" s="19" t="s">
        <v>18</v>
      </c>
      <c r="J58" s="19">
        <v>2929</v>
      </c>
      <c r="K58" s="20">
        <v>5.13</v>
      </c>
      <c r="L58" s="21"/>
    </row>
    <row r="59" spans="1:15" x14ac:dyDescent="0.3">
      <c r="A59" s="14" t="s">
        <v>14</v>
      </c>
      <c r="B59" s="15">
        <v>2200032685</v>
      </c>
      <c r="C59" s="16">
        <v>45922</v>
      </c>
      <c r="D59" s="17">
        <v>5</v>
      </c>
      <c r="E59" s="15">
        <v>1125072303</v>
      </c>
      <c r="F59" s="18" t="s">
        <v>15</v>
      </c>
      <c r="G59" s="18" t="s">
        <v>16</v>
      </c>
      <c r="H59" s="18" t="s">
        <v>20</v>
      </c>
      <c r="I59" s="19" t="s">
        <v>18</v>
      </c>
      <c r="J59" s="19">
        <v>2929</v>
      </c>
      <c r="K59" s="20">
        <v>5.13</v>
      </c>
      <c r="L59" s="21"/>
    </row>
    <row r="60" spans="1:15" x14ac:dyDescent="0.3">
      <c r="A60" s="14" t="s">
        <v>14</v>
      </c>
      <c r="B60" s="15">
        <v>2200032685</v>
      </c>
      <c r="C60" s="16">
        <v>45922</v>
      </c>
      <c r="D60" s="17">
        <v>5</v>
      </c>
      <c r="E60" s="15">
        <v>1125072311</v>
      </c>
      <c r="F60" s="18" t="s">
        <v>15</v>
      </c>
      <c r="G60" s="18" t="s">
        <v>16</v>
      </c>
      <c r="H60" s="18" t="s">
        <v>20</v>
      </c>
      <c r="I60" s="19" t="s">
        <v>18</v>
      </c>
      <c r="J60" s="19">
        <v>2929</v>
      </c>
      <c r="K60" s="20">
        <v>5.13</v>
      </c>
      <c r="L60" s="21"/>
    </row>
    <row r="61" spans="1:15" x14ac:dyDescent="0.3">
      <c r="A61" s="14" t="s">
        <v>14</v>
      </c>
      <c r="B61" s="15">
        <v>2200032685</v>
      </c>
      <c r="C61" s="16">
        <v>45922</v>
      </c>
      <c r="D61" s="17">
        <v>5</v>
      </c>
      <c r="E61" s="15">
        <v>1125072312</v>
      </c>
      <c r="F61" s="18" t="s">
        <v>15</v>
      </c>
      <c r="G61" s="18" t="s">
        <v>16</v>
      </c>
      <c r="H61" s="18" t="s">
        <v>20</v>
      </c>
      <c r="I61" s="19" t="s">
        <v>18</v>
      </c>
      <c r="J61" s="19">
        <v>2929</v>
      </c>
      <c r="K61" s="20">
        <v>5.13</v>
      </c>
      <c r="L61" s="21"/>
    </row>
    <row r="62" spans="1:15" x14ac:dyDescent="0.3">
      <c r="A62" s="14" t="s">
        <v>23</v>
      </c>
      <c r="B62" s="15">
        <v>2200032685</v>
      </c>
      <c r="C62" s="16">
        <v>45922</v>
      </c>
      <c r="D62" s="17">
        <v>1E-3</v>
      </c>
      <c r="E62" s="15">
        <v>1125072227</v>
      </c>
      <c r="F62" s="18" t="s">
        <v>15</v>
      </c>
      <c r="G62" s="18" t="s">
        <v>16</v>
      </c>
      <c r="H62" s="18" t="s">
        <v>20</v>
      </c>
      <c r="I62" s="19" t="s">
        <v>18</v>
      </c>
      <c r="J62" s="19">
        <v>2929</v>
      </c>
      <c r="K62" s="20">
        <v>1.25E-3</v>
      </c>
      <c r="L62" s="21"/>
    </row>
    <row r="63" spans="1:15" x14ac:dyDescent="0.3">
      <c r="A63" s="14" t="s">
        <v>23</v>
      </c>
      <c r="B63" s="15">
        <v>2200032685</v>
      </c>
      <c r="C63" s="16">
        <v>45922</v>
      </c>
      <c r="D63" s="17">
        <v>1E-3</v>
      </c>
      <c r="E63" s="15">
        <v>1125072228</v>
      </c>
      <c r="F63" s="18" t="s">
        <v>15</v>
      </c>
      <c r="G63" s="18" t="s">
        <v>16</v>
      </c>
      <c r="H63" s="18" t="s">
        <v>20</v>
      </c>
      <c r="I63" s="19" t="s">
        <v>18</v>
      </c>
      <c r="J63" s="19">
        <v>2929</v>
      </c>
      <c r="K63" s="20">
        <v>1.25E-3</v>
      </c>
      <c r="L63" s="21"/>
    </row>
    <row r="64" spans="1:15" x14ac:dyDescent="0.3">
      <c r="A64" s="14" t="s">
        <v>23</v>
      </c>
      <c r="B64" s="15">
        <v>2200032685</v>
      </c>
      <c r="C64" s="16">
        <v>45922</v>
      </c>
      <c r="D64" s="17">
        <v>1E-3</v>
      </c>
      <c r="E64" s="15">
        <v>1125072239</v>
      </c>
      <c r="F64" s="18" t="s">
        <v>15</v>
      </c>
      <c r="G64" s="18" t="s">
        <v>16</v>
      </c>
      <c r="H64" s="18" t="s">
        <v>20</v>
      </c>
      <c r="I64" s="19" t="s">
        <v>18</v>
      </c>
      <c r="J64" s="19">
        <v>2929</v>
      </c>
      <c r="K64" s="20">
        <v>1.25E-3</v>
      </c>
      <c r="L64" s="21"/>
    </row>
    <row r="65" spans="1:12" x14ac:dyDescent="0.3">
      <c r="A65" s="14" t="s">
        <v>23</v>
      </c>
      <c r="B65" s="15">
        <v>2200032685</v>
      </c>
      <c r="C65" s="16">
        <v>45922</v>
      </c>
      <c r="D65" s="17">
        <v>1E-3</v>
      </c>
      <c r="E65" s="15">
        <v>1125072240</v>
      </c>
      <c r="F65" s="18" t="s">
        <v>15</v>
      </c>
      <c r="G65" s="18" t="s">
        <v>16</v>
      </c>
      <c r="H65" s="18" t="s">
        <v>20</v>
      </c>
      <c r="I65" s="19" t="s">
        <v>18</v>
      </c>
      <c r="J65" s="19">
        <v>2929</v>
      </c>
      <c r="K65" s="20">
        <v>1.25E-3</v>
      </c>
      <c r="L65" s="21"/>
    </row>
    <row r="66" spans="1:12" x14ac:dyDescent="0.3">
      <c r="A66" s="14" t="s">
        <v>23</v>
      </c>
      <c r="B66" s="15">
        <v>2200032685</v>
      </c>
      <c r="C66" s="16">
        <v>45922</v>
      </c>
      <c r="D66" s="17">
        <v>1E-3</v>
      </c>
      <c r="E66" s="15">
        <v>1125072241</v>
      </c>
      <c r="F66" s="18" t="s">
        <v>15</v>
      </c>
      <c r="G66" s="18" t="s">
        <v>16</v>
      </c>
      <c r="H66" s="18" t="s">
        <v>20</v>
      </c>
      <c r="I66" s="19" t="s">
        <v>18</v>
      </c>
      <c r="J66" s="19">
        <v>2929</v>
      </c>
      <c r="K66" s="20">
        <v>1.25E-3</v>
      </c>
      <c r="L66" s="21"/>
    </row>
    <row r="67" spans="1:12" x14ac:dyDescent="0.3">
      <c r="A67" s="14" t="s">
        <v>23</v>
      </c>
      <c r="B67" s="15">
        <v>2200032685</v>
      </c>
      <c r="C67" s="16">
        <v>45922</v>
      </c>
      <c r="D67" s="17">
        <v>1E-3</v>
      </c>
      <c r="E67" s="15">
        <v>1125072242</v>
      </c>
      <c r="F67" s="18" t="s">
        <v>15</v>
      </c>
      <c r="G67" s="18" t="s">
        <v>16</v>
      </c>
      <c r="H67" s="18" t="s">
        <v>20</v>
      </c>
      <c r="I67" s="19" t="s">
        <v>18</v>
      </c>
      <c r="J67" s="19">
        <v>2929</v>
      </c>
      <c r="K67" s="20">
        <v>1.25E-3</v>
      </c>
      <c r="L67" s="21"/>
    </row>
    <row r="68" spans="1:12" x14ac:dyDescent="0.3">
      <c r="A68" s="14" t="s">
        <v>23</v>
      </c>
      <c r="B68" s="15">
        <v>2200032685</v>
      </c>
      <c r="C68" s="16">
        <v>45922</v>
      </c>
      <c r="D68" s="17">
        <v>1E-3</v>
      </c>
      <c r="E68" s="15">
        <v>1125072243</v>
      </c>
      <c r="F68" s="18" t="s">
        <v>15</v>
      </c>
      <c r="G68" s="18" t="s">
        <v>16</v>
      </c>
      <c r="H68" s="18" t="s">
        <v>20</v>
      </c>
      <c r="I68" s="19" t="s">
        <v>18</v>
      </c>
      <c r="J68" s="19">
        <v>2929</v>
      </c>
      <c r="K68" s="20">
        <v>1.25E-3</v>
      </c>
      <c r="L68" s="21"/>
    </row>
    <row r="69" spans="1:12" x14ac:dyDescent="0.3">
      <c r="A69" s="14" t="s">
        <v>23</v>
      </c>
      <c r="B69" s="15">
        <v>2200032685</v>
      </c>
      <c r="C69" s="16">
        <v>45922</v>
      </c>
      <c r="D69" s="17">
        <v>1E-3</v>
      </c>
      <c r="E69" s="15">
        <v>1125072244</v>
      </c>
      <c r="F69" s="18" t="s">
        <v>15</v>
      </c>
      <c r="G69" s="18" t="s">
        <v>16</v>
      </c>
      <c r="H69" s="18" t="s">
        <v>20</v>
      </c>
      <c r="I69" s="19" t="s">
        <v>18</v>
      </c>
      <c r="J69" s="19">
        <v>2929</v>
      </c>
      <c r="K69" s="20">
        <v>1.25E-3</v>
      </c>
      <c r="L69" s="21"/>
    </row>
    <row r="70" spans="1:12" x14ac:dyDescent="0.3">
      <c r="A70" s="14" t="s">
        <v>23</v>
      </c>
      <c r="B70" s="15">
        <v>2200032685</v>
      </c>
      <c r="C70" s="16">
        <v>45922</v>
      </c>
      <c r="D70" s="17">
        <v>1E-3</v>
      </c>
      <c r="E70" s="15">
        <v>1125072245</v>
      </c>
      <c r="F70" s="18" t="s">
        <v>15</v>
      </c>
      <c r="G70" s="18" t="s">
        <v>16</v>
      </c>
      <c r="H70" s="18" t="s">
        <v>20</v>
      </c>
      <c r="I70" s="19" t="s">
        <v>18</v>
      </c>
      <c r="J70" s="19">
        <v>2929</v>
      </c>
      <c r="K70" s="20">
        <v>1.25E-3</v>
      </c>
      <c r="L70" s="21"/>
    </row>
    <row r="71" spans="1:12" x14ac:dyDescent="0.3">
      <c r="A71" s="14" t="s">
        <v>23</v>
      </c>
      <c r="B71" s="15">
        <v>2200032685</v>
      </c>
      <c r="C71" s="16">
        <v>45922</v>
      </c>
      <c r="D71" s="17">
        <v>1E-3</v>
      </c>
      <c r="E71" s="15">
        <v>1125072246</v>
      </c>
      <c r="F71" s="18" t="s">
        <v>15</v>
      </c>
      <c r="G71" s="18" t="s">
        <v>16</v>
      </c>
      <c r="H71" s="18" t="s">
        <v>20</v>
      </c>
      <c r="I71" s="19" t="s">
        <v>18</v>
      </c>
      <c r="J71" s="19">
        <v>2929</v>
      </c>
      <c r="K71" s="20">
        <v>1.25E-3</v>
      </c>
      <c r="L71" s="21"/>
    </row>
    <row r="72" spans="1:12" x14ac:dyDescent="0.3">
      <c r="A72" s="14" t="s">
        <v>23</v>
      </c>
      <c r="B72" s="15">
        <v>2200032685</v>
      </c>
      <c r="C72" s="16">
        <v>45922</v>
      </c>
      <c r="D72" s="17">
        <v>1E-3</v>
      </c>
      <c r="E72" s="15">
        <v>1125072247</v>
      </c>
      <c r="F72" s="18" t="s">
        <v>15</v>
      </c>
      <c r="G72" s="18" t="s">
        <v>16</v>
      </c>
      <c r="H72" s="18" t="s">
        <v>20</v>
      </c>
      <c r="I72" s="19" t="s">
        <v>18</v>
      </c>
      <c r="J72" s="19">
        <v>2929</v>
      </c>
      <c r="K72" s="20">
        <v>1.25E-3</v>
      </c>
      <c r="L72" s="21"/>
    </row>
    <row r="73" spans="1:12" x14ac:dyDescent="0.3">
      <c r="A73" s="14" t="s">
        <v>23</v>
      </c>
      <c r="B73" s="15">
        <v>2200032685</v>
      </c>
      <c r="C73" s="16">
        <v>45922</v>
      </c>
      <c r="D73" s="17">
        <v>1E-3</v>
      </c>
      <c r="E73" s="15">
        <v>1125072249</v>
      </c>
      <c r="F73" s="18" t="s">
        <v>15</v>
      </c>
      <c r="G73" s="18" t="s">
        <v>16</v>
      </c>
      <c r="H73" s="18" t="s">
        <v>20</v>
      </c>
      <c r="I73" s="19" t="s">
        <v>18</v>
      </c>
      <c r="J73" s="19">
        <v>2929</v>
      </c>
      <c r="K73" s="20">
        <v>1.25E-3</v>
      </c>
      <c r="L73" s="21"/>
    </row>
    <row r="74" spans="1:12" x14ac:dyDescent="0.3">
      <c r="A74" s="14" t="s">
        <v>23</v>
      </c>
      <c r="B74" s="15">
        <v>2200032685</v>
      </c>
      <c r="C74" s="16">
        <v>45922</v>
      </c>
      <c r="D74" s="17">
        <v>1E-3</v>
      </c>
      <c r="E74" s="15">
        <v>1125072250</v>
      </c>
      <c r="F74" s="18" t="s">
        <v>15</v>
      </c>
      <c r="G74" s="18" t="s">
        <v>16</v>
      </c>
      <c r="H74" s="18" t="s">
        <v>20</v>
      </c>
      <c r="I74" s="19" t="s">
        <v>18</v>
      </c>
      <c r="J74" s="19">
        <v>2929</v>
      </c>
      <c r="K74" s="20">
        <v>1.25E-3</v>
      </c>
      <c r="L74" s="21"/>
    </row>
    <row r="75" spans="1:12" x14ac:dyDescent="0.3">
      <c r="A75" s="14" t="s">
        <v>23</v>
      </c>
      <c r="B75" s="15">
        <v>2200032685</v>
      </c>
      <c r="C75" s="16">
        <v>45922</v>
      </c>
      <c r="D75" s="17">
        <v>1E-3</v>
      </c>
      <c r="E75" s="15">
        <v>1125072251</v>
      </c>
      <c r="F75" s="18" t="s">
        <v>15</v>
      </c>
      <c r="G75" s="18" t="s">
        <v>16</v>
      </c>
      <c r="H75" s="18" t="s">
        <v>20</v>
      </c>
      <c r="I75" s="19" t="s">
        <v>18</v>
      </c>
      <c r="J75" s="19">
        <v>2929</v>
      </c>
      <c r="K75" s="20">
        <v>1.25E-3</v>
      </c>
      <c r="L75" s="21"/>
    </row>
    <row r="76" spans="1:12" x14ac:dyDescent="0.3">
      <c r="A76" s="14" t="s">
        <v>23</v>
      </c>
      <c r="B76" s="15">
        <v>2200032685</v>
      </c>
      <c r="C76" s="16">
        <v>45922</v>
      </c>
      <c r="D76" s="17">
        <v>1E-3</v>
      </c>
      <c r="E76" s="15">
        <v>1125072252</v>
      </c>
      <c r="F76" s="18" t="s">
        <v>15</v>
      </c>
      <c r="G76" s="18" t="s">
        <v>16</v>
      </c>
      <c r="H76" s="18" t="s">
        <v>20</v>
      </c>
      <c r="I76" s="19" t="s">
        <v>18</v>
      </c>
      <c r="J76" s="19">
        <v>2929</v>
      </c>
      <c r="K76" s="20">
        <v>1.25E-3</v>
      </c>
      <c r="L76" s="21"/>
    </row>
    <row r="77" spans="1:12" x14ac:dyDescent="0.3">
      <c r="A77" s="14" t="s">
        <v>23</v>
      </c>
      <c r="B77" s="15">
        <v>2200032685</v>
      </c>
      <c r="C77" s="16">
        <v>45922</v>
      </c>
      <c r="D77" s="17">
        <v>1E-3</v>
      </c>
      <c r="E77" s="15">
        <v>1125072254</v>
      </c>
      <c r="F77" s="18" t="s">
        <v>15</v>
      </c>
      <c r="G77" s="18" t="s">
        <v>16</v>
      </c>
      <c r="H77" s="18" t="s">
        <v>20</v>
      </c>
      <c r="I77" s="19" t="s">
        <v>18</v>
      </c>
      <c r="J77" s="19">
        <v>2929</v>
      </c>
      <c r="K77" s="20">
        <v>1.25E-3</v>
      </c>
      <c r="L77" s="21"/>
    </row>
    <row r="78" spans="1:12" x14ac:dyDescent="0.3">
      <c r="A78" s="14" t="s">
        <v>23</v>
      </c>
      <c r="B78" s="15">
        <v>2200032685</v>
      </c>
      <c r="C78" s="16">
        <v>45922</v>
      </c>
      <c r="D78" s="17">
        <v>1E-3</v>
      </c>
      <c r="E78" s="15">
        <v>1125072256</v>
      </c>
      <c r="F78" s="18" t="s">
        <v>15</v>
      </c>
      <c r="G78" s="18" t="s">
        <v>16</v>
      </c>
      <c r="H78" s="18" t="s">
        <v>20</v>
      </c>
      <c r="I78" s="19" t="s">
        <v>18</v>
      </c>
      <c r="J78" s="19">
        <v>2929</v>
      </c>
      <c r="K78" s="20">
        <v>1.25E-3</v>
      </c>
      <c r="L78" s="21"/>
    </row>
    <row r="79" spans="1:12" x14ac:dyDescent="0.3">
      <c r="A79" s="14" t="s">
        <v>23</v>
      </c>
      <c r="B79" s="15">
        <v>2200032685</v>
      </c>
      <c r="C79" s="16">
        <v>45922</v>
      </c>
      <c r="D79" s="17">
        <v>1E-3</v>
      </c>
      <c r="E79" s="15">
        <v>1125072301</v>
      </c>
      <c r="F79" s="18" t="s">
        <v>15</v>
      </c>
      <c r="G79" s="18" t="s">
        <v>16</v>
      </c>
      <c r="H79" s="18" t="s">
        <v>20</v>
      </c>
      <c r="I79" s="19" t="s">
        <v>18</v>
      </c>
      <c r="J79" s="19">
        <v>2929</v>
      </c>
      <c r="K79" s="20">
        <v>1.25E-3</v>
      </c>
      <c r="L79" s="21"/>
    </row>
    <row r="80" spans="1:12" x14ac:dyDescent="0.3">
      <c r="A80" s="14" t="s">
        <v>23</v>
      </c>
      <c r="B80" s="15">
        <v>2200032685</v>
      </c>
      <c r="C80" s="16">
        <v>45922</v>
      </c>
      <c r="D80" s="17">
        <v>1E-3</v>
      </c>
      <c r="E80" s="15">
        <v>1125072302</v>
      </c>
      <c r="F80" s="18" t="s">
        <v>15</v>
      </c>
      <c r="G80" s="18" t="s">
        <v>16</v>
      </c>
      <c r="H80" s="18" t="s">
        <v>20</v>
      </c>
      <c r="I80" s="19" t="s">
        <v>18</v>
      </c>
      <c r="J80" s="19">
        <v>2929</v>
      </c>
      <c r="K80" s="20">
        <v>1.25E-3</v>
      </c>
      <c r="L80" s="21"/>
    </row>
    <row r="81" spans="1:12" x14ac:dyDescent="0.3">
      <c r="A81" s="14" t="s">
        <v>23</v>
      </c>
      <c r="B81" s="15">
        <v>2200032685</v>
      </c>
      <c r="C81" s="16">
        <v>45922</v>
      </c>
      <c r="D81" s="17">
        <v>1E-3</v>
      </c>
      <c r="E81" s="15">
        <v>1125072303</v>
      </c>
      <c r="F81" s="18" t="s">
        <v>15</v>
      </c>
      <c r="G81" s="18" t="s">
        <v>16</v>
      </c>
      <c r="H81" s="18" t="s">
        <v>20</v>
      </c>
      <c r="I81" s="19" t="s">
        <v>18</v>
      </c>
      <c r="J81" s="19">
        <v>2929</v>
      </c>
      <c r="K81" s="20">
        <v>1.25E-3</v>
      </c>
      <c r="L81" s="21"/>
    </row>
    <row r="82" spans="1:12" x14ac:dyDescent="0.3">
      <c r="A82" s="14" t="s">
        <v>23</v>
      </c>
      <c r="B82" s="15">
        <v>2200032685</v>
      </c>
      <c r="C82" s="16">
        <v>45922</v>
      </c>
      <c r="D82" s="17">
        <v>1E-3</v>
      </c>
      <c r="E82" s="15">
        <v>1125072311</v>
      </c>
      <c r="F82" s="18" t="s">
        <v>15</v>
      </c>
      <c r="G82" s="18" t="s">
        <v>16</v>
      </c>
      <c r="H82" s="18" t="s">
        <v>20</v>
      </c>
      <c r="I82" s="19" t="s">
        <v>18</v>
      </c>
      <c r="J82" s="19">
        <v>2929</v>
      </c>
      <c r="K82" s="20">
        <v>1.25E-3</v>
      </c>
      <c r="L82" s="21"/>
    </row>
    <row r="83" spans="1:12" x14ac:dyDescent="0.3">
      <c r="A83" s="14" t="s">
        <v>23</v>
      </c>
      <c r="B83" s="15">
        <v>2200032685</v>
      </c>
      <c r="C83" s="16">
        <v>45922</v>
      </c>
      <c r="D83" s="17">
        <v>1E-3</v>
      </c>
      <c r="E83" s="15">
        <v>1125072312</v>
      </c>
      <c r="F83" s="18" t="s">
        <v>15</v>
      </c>
      <c r="G83" s="18" t="s">
        <v>16</v>
      </c>
      <c r="H83" s="18" t="s">
        <v>20</v>
      </c>
      <c r="I83" s="19" t="s">
        <v>18</v>
      </c>
      <c r="J83" s="19">
        <v>2929</v>
      </c>
      <c r="K83" s="20">
        <v>1.25E-3</v>
      </c>
      <c r="L83" s="21"/>
    </row>
    <row r="84" spans="1:12" x14ac:dyDescent="0.3">
      <c r="A84" s="14" t="s">
        <v>14</v>
      </c>
      <c r="B84" s="15">
        <v>2200032684</v>
      </c>
      <c r="C84" s="16">
        <v>45925</v>
      </c>
      <c r="D84" s="17">
        <v>5</v>
      </c>
      <c r="E84" s="15">
        <v>1125072248</v>
      </c>
      <c r="F84" s="18" t="s">
        <v>15</v>
      </c>
      <c r="G84" s="18" t="s">
        <v>16</v>
      </c>
      <c r="H84" s="18" t="s">
        <v>20</v>
      </c>
      <c r="I84" s="19" t="s">
        <v>18</v>
      </c>
      <c r="J84" s="19">
        <v>2929</v>
      </c>
      <c r="K84" s="20">
        <v>5.13</v>
      </c>
      <c r="L84" s="21"/>
    </row>
    <row r="85" spans="1:12" x14ac:dyDescent="0.3">
      <c r="A85" s="14" t="s">
        <v>14</v>
      </c>
      <c r="B85" s="15">
        <v>2200032684</v>
      </c>
      <c r="C85" s="16">
        <v>45925</v>
      </c>
      <c r="D85" s="17">
        <v>5</v>
      </c>
      <c r="E85" s="15">
        <v>1125072253</v>
      </c>
      <c r="F85" s="18" t="s">
        <v>15</v>
      </c>
      <c r="G85" s="18" t="s">
        <v>16</v>
      </c>
      <c r="H85" s="18" t="s">
        <v>20</v>
      </c>
      <c r="I85" s="19" t="s">
        <v>18</v>
      </c>
      <c r="J85" s="19">
        <v>2929</v>
      </c>
      <c r="K85" s="20">
        <v>5.13</v>
      </c>
      <c r="L85" s="21"/>
    </row>
    <row r="86" spans="1:12" x14ac:dyDescent="0.3">
      <c r="A86" s="14" t="s">
        <v>14</v>
      </c>
      <c r="B86" s="15">
        <v>2200032684</v>
      </c>
      <c r="C86" s="16">
        <v>45925</v>
      </c>
      <c r="D86" s="17">
        <v>5</v>
      </c>
      <c r="E86" s="15">
        <v>1125072255</v>
      </c>
      <c r="F86" s="18" t="s">
        <v>15</v>
      </c>
      <c r="G86" s="18" t="s">
        <v>16</v>
      </c>
      <c r="H86" s="18" t="s">
        <v>20</v>
      </c>
      <c r="I86" s="19" t="s">
        <v>18</v>
      </c>
      <c r="J86" s="19">
        <v>2929</v>
      </c>
      <c r="K86" s="20">
        <v>5.13</v>
      </c>
      <c r="L86" s="21"/>
    </row>
    <row r="87" spans="1:12" x14ac:dyDescent="0.3">
      <c r="A87" s="14" t="s">
        <v>14</v>
      </c>
      <c r="B87" s="15">
        <v>2200032684</v>
      </c>
      <c r="C87" s="16">
        <v>45925</v>
      </c>
      <c r="D87" s="17">
        <v>5</v>
      </c>
      <c r="E87" s="15">
        <v>1125072257</v>
      </c>
      <c r="F87" s="18" t="s">
        <v>15</v>
      </c>
      <c r="G87" s="18" t="s">
        <v>16</v>
      </c>
      <c r="H87" s="18" t="s">
        <v>20</v>
      </c>
      <c r="I87" s="19" t="s">
        <v>18</v>
      </c>
      <c r="J87" s="19">
        <v>2929</v>
      </c>
      <c r="K87" s="20">
        <v>5.13</v>
      </c>
      <c r="L87" s="21"/>
    </row>
    <row r="88" spans="1:12" x14ac:dyDescent="0.3">
      <c r="A88" s="14" t="s">
        <v>14</v>
      </c>
      <c r="B88" s="15">
        <v>2200032684</v>
      </c>
      <c r="C88" s="16">
        <v>45925</v>
      </c>
      <c r="D88" s="17">
        <v>5</v>
      </c>
      <c r="E88" s="15">
        <v>1125072313</v>
      </c>
      <c r="F88" s="18" t="s">
        <v>15</v>
      </c>
      <c r="G88" s="18" t="s">
        <v>16</v>
      </c>
      <c r="H88" s="18" t="s">
        <v>20</v>
      </c>
      <c r="I88" s="19" t="s">
        <v>18</v>
      </c>
      <c r="J88" s="19">
        <v>2929</v>
      </c>
      <c r="K88" s="20">
        <v>5.13</v>
      </c>
      <c r="L88" s="21"/>
    </row>
    <row r="89" spans="1:12" x14ac:dyDescent="0.3">
      <c r="A89" s="14" t="s">
        <v>14</v>
      </c>
      <c r="B89" s="15">
        <v>2200032684</v>
      </c>
      <c r="C89" s="16">
        <v>45925</v>
      </c>
      <c r="D89" s="17">
        <v>5</v>
      </c>
      <c r="E89" s="15">
        <v>1125072314</v>
      </c>
      <c r="F89" s="18" t="s">
        <v>15</v>
      </c>
      <c r="G89" s="18" t="s">
        <v>16</v>
      </c>
      <c r="H89" s="18" t="s">
        <v>20</v>
      </c>
      <c r="I89" s="19" t="s">
        <v>18</v>
      </c>
      <c r="J89" s="19">
        <v>2929</v>
      </c>
      <c r="K89" s="20">
        <v>5.13</v>
      </c>
      <c r="L89" s="21"/>
    </row>
    <row r="90" spans="1:12" x14ac:dyDescent="0.3">
      <c r="A90" s="14" t="s">
        <v>14</v>
      </c>
      <c r="B90" s="15">
        <v>2200032684</v>
      </c>
      <c r="C90" s="16">
        <v>45925</v>
      </c>
      <c r="D90" s="17">
        <v>5</v>
      </c>
      <c r="E90" s="15">
        <v>1125072315</v>
      </c>
      <c r="F90" s="18" t="s">
        <v>15</v>
      </c>
      <c r="G90" s="18" t="s">
        <v>16</v>
      </c>
      <c r="H90" s="18" t="s">
        <v>20</v>
      </c>
      <c r="I90" s="19" t="s">
        <v>18</v>
      </c>
      <c r="J90" s="19">
        <v>2929</v>
      </c>
      <c r="K90" s="20">
        <v>5.13</v>
      </c>
      <c r="L90" s="21"/>
    </row>
    <row r="91" spans="1:12" x14ac:dyDescent="0.3">
      <c r="A91" s="14" t="s">
        <v>14</v>
      </c>
      <c r="B91" s="15">
        <v>2200032684</v>
      </c>
      <c r="C91" s="16">
        <v>45925</v>
      </c>
      <c r="D91" s="17">
        <v>5</v>
      </c>
      <c r="E91" s="15">
        <v>1125072316</v>
      </c>
      <c r="F91" s="18" t="s">
        <v>15</v>
      </c>
      <c r="G91" s="18" t="s">
        <v>16</v>
      </c>
      <c r="H91" s="18" t="s">
        <v>20</v>
      </c>
      <c r="I91" s="19" t="s">
        <v>18</v>
      </c>
      <c r="J91" s="19">
        <v>2929</v>
      </c>
      <c r="K91" s="20">
        <v>5.13</v>
      </c>
      <c r="L91" s="21"/>
    </row>
    <row r="92" spans="1:12" x14ac:dyDescent="0.3">
      <c r="A92" s="14" t="s">
        <v>14</v>
      </c>
      <c r="B92" s="15">
        <v>2200032684</v>
      </c>
      <c r="C92" s="16">
        <v>45925</v>
      </c>
      <c r="D92" s="17">
        <v>5</v>
      </c>
      <c r="E92" s="15">
        <v>1125072317</v>
      </c>
      <c r="F92" s="18" t="s">
        <v>15</v>
      </c>
      <c r="G92" s="18" t="s">
        <v>16</v>
      </c>
      <c r="H92" s="18" t="s">
        <v>20</v>
      </c>
      <c r="I92" s="19" t="s">
        <v>18</v>
      </c>
      <c r="J92" s="19">
        <v>2929</v>
      </c>
      <c r="K92" s="20">
        <v>5.13</v>
      </c>
      <c r="L92" s="21"/>
    </row>
    <row r="93" spans="1:12" x14ac:dyDescent="0.3">
      <c r="A93" s="14" t="s">
        <v>14</v>
      </c>
      <c r="B93" s="15">
        <v>2200032684</v>
      </c>
      <c r="C93" s="16">
        <v>45925</v>
      </c>
      <c r="D93" s="17">
        <v>5</v>
      </c>
      <c r="E93" s="15">
        <v>1125072318</v>
      </c>
      <c r="F93" s="18" t="s">
        <v>15</v>
      </c>
      <c r="G93" s="18" t="s">
        <v>16</v>
      </c>
      <c r="H93" s="18" t="s">
        <v>20</v>
      </c>
      <c r="I93" s="19" t="s">
        <v>18</v>
      </c>
      <c r="J93" s="19">
        <v>2929</v>
      </c>
      <c r="K93" s="20">
        <v>5.13</v>
      </c>
      <c r="L93" s="21"/>
    </row>
    <row r="94" spans="1:12" x14ac:dyDescent="0.3">
      <c r="A94" s="14" t="s">
        <v>14</v>
      </c>
      <c r="B94" s="15">
        <v>2200032684</v>
      </c>
      <c r="C94" s="16">
        <v>45925</v>
      </c>
      <c r="D94" s="17">
        <v>5</v>
      </c>
      <c r="E94" s="15">
        <v>1125072322</v>
      </c>
      <c r="F94" s="18" t="s">
        <v>15</v>
      </c>
      <c r="G94" s="18" t="s">
        <v>16</v>
      </c>
      <c r="H94" s="18" t="s">
        <v>20</v>
      </c>
      <c r="I94" s="19" t="s">
        <v>18</v>
      </c>
      <c r="J94" s="19">
        <v>2929</v>
      </c>
      <c r="K94" s="20">
        <v>5.13</v>
      </c>
      <c r="L94" s="21"/>
    </row>
    <row r="95" spans="1:12" x14ac:dyDescent="0.3">
      <c r="A95" s="14" t="s">
        <v>14</v>
      </c>
      <c r="B95" s="15">
        <v>2200032684</v>
      </c>
      <c r="C95" s="16">
        <v>45925</v>
      </c>
      <c r="D95" s="17">
        <v>5</v>
      </c>
      <c r="E95" s="15">
        <v>1125072323</v>
      </c>
      <c r="F95" s="18" t="s">
        <v>15</v>
      </c>
      <c r="G95" s="18" t="s">
        <v>16</v>
      </c>
      <c r="H95" s="18" t="s">
        <v>20</v>
      </c>
      <c r="I95" s="19" t="s">
        <v>18</v>
      </c>
      <c r="J95" s="19">
        <v>2929</v>
      </c>
      <c r="K95" s="20">
        <v>5.13</v>
      </c>
      <c r="L95" s="21"/>
    </row>
    <row r="96" spans="1:12" x14ac:dyDescent="0.3">
      <c r="A96" s="14" t="s">
        <v>23</v>
      </c>
      <c r="B96" s="15">
        <v>2200032684</v>
      </c>
      <c r="C96" s="16">
        <v>45925</v>
      </c>
      <c r="D96" s="17">
        <v>1E-3</v>
      </c>
      <c r="E96" s="15">
        <v>1125072248</v>
      </c>
      <c r="F96" s="18" t="s">
        <v>15</v>
      </c>
      <c r="G96" s="18" t="s">
        <v>16</v>
      </c>
      <c r="H96" s="18" t="s">
        <v>20</v>
      </c>
      <c r="I96" s="19" t="s">
        <v>18</v>
      </c>
      <c r="J96" s="19">
        <v>2929</v>
      </c>
      <c r="K96" s="20">
        <v>1.25E-3</v>
      </c>
      <c r="L96" s="21"/>
    </row>
    <row r="97" spans="1:12" x14ac:dyDescent="0.3">
      <c r="A97" s="14" t="s">
        <v>23</v>
      </c>
      <c r="B97" s="15">
        <v>2200032684</v>
      </c>
      <c r="C97" s="16">
        <v>45925</v>
      </c>
      <c r="D97" s="17">
        <v>1E-3</v>
      </c>
      <c r="E97" s="15">
        <v>1125072253</v>
      </c>
      <c r="F97" s="18" t="s">
        <v>15</v>
      </c>
      <c r="G97" s="18" t="s">
        <v>16</v>
      </c>
      <c r="H97" s="18" t="s">
        <v>20</v>
      </c>
      <c r="I97" s="19" t="s">
        <v>18</v>
      </c>
      <c r="J97" s="19">
        <v>2929</v>
      </c>
      <c r="K97" s="20">
        <v>1.25E-3</v>
      </c>
      <c r="L97" s="21"/>
    </row>
    <row r="98" spans="1:12" x14ac:dyDescent="0.3">
      <c r="A98" s="14" t="s">
        <v>23</v>
      </c>
      <c r="B98" s="15">
        <v>2200032684</v>
      </c>
      <c r="C98" s="16">
        <v>45925</v>
      </c>
      <c r="D98" s="17">
        <v>1E-3</v>
      </c>
      <c r="E98" s="15">
        <v>1125072255</v>
      </c>
      <c r="F98" s="18" t="s">
        <v>15</v>
      </c>
      <c r="G98" s="18" t="s">
        <v>16</v>
      </c>
      <c r="H98" s="18" t="s">
        <v>20</v>
      </c>
      <c r="I98" s="19" t="s">
        <v>18</v>
      </c>
      <c r="J98" s="19">
        <v>2929</v>
      </c>
      <c r="K98" s="20">
        <v>1.25E-3</v>
      </c>
      <c r="L98" s="21"/>
    </row>
    <row r="99" spans="1:12" x14ac:dyDescent="0.3">
      <c r="A99" s="14" t="s">
        <v>23</v>
      </c>
      <c r="B99" s="15">
        <v>2200032684</v>
      </c>
      <c r="C99" s="16">
        <v>45925</v>
      </c>
      <c r="D99" s="17">
        <v>1E-3</v>
      </c>
      <c r="E99" s="15">
        <v>1125072257</v>
      </c>
      <c r="F99" s="18" t="s">
        <v>15</v>
      </c>
      <c r="G99" s="18" t="s">
        <v>16</v>
      </c>
      <c r="H99" s="18" t="s">
        <v>20</v>
      </c>
      <c r="I99" s="19" t="s">
        <v>18</v>
      </c>
      <c r="J99" s="19">
        <v>2929</v>
      </c>
      <c r="K99" s="20">
        <v>1.25E-3</v>
      </c>
      <c r="L99" s="21"/>
    </row>
    <row r="100" spans="1:12" x14ac:dyDescent="0.3">
      <c r="A100" s="14" t="s">
        <v>23</v>
      </c>
      <c r="B100" s="15">
        <v>2200032684</v>
      </c>
      <c r="C100" s="16">
        <v>45925</v>
      </c>
      <c r="D100" s="17">
        <v>1E-3</v>
      </c>
      <c r="E100" s="15">
        <v>1125072313</v>
      </c>
      <c r="F100" s="18" t="s">
        <v>15</v>
      </c>
      <c r="G100" s="18" t="s">
        <v>16</v>
      </c>
      <c r="H100" s="18" t="s">
        <v>20</v>
      </c>
      <c r="I100" s="19" t="s">
        <v>18</v>
      </c>
      <c r="J100" s="19">
        <v>2929</v>
      </c>
      <c r="K100" s="20">
        <v>1.25E-3</v>
      </c>
      <c r="L100" s="21"/>
    </row>
    <row r="101" spans="1:12" x14ac:dyDescent="0.3">
      <c r="A101" s="14" t="s">
        <v>23</v>
      </c>
      <c r="B101" s="15">
        <v>2200032684</v>
      </c>
      <c r="C101" s="16">
        <v>45925</v>
      </c>
      <c r="D101" s="17">
        <v>1E-3</v>
      </c>
      <c r="E101" s="15">
        <v>1125072314</v>
      </c>
      <c r="F101" s="18" t="s">
        <v>15</v>
      </c>
      <c r="G101" s="18" t="s">
        <v>16</v>
      </c>
      <c r="H101" s="18" t="s">
        <v>20</v>
      </c>
      <c r="I101" s="19" t="s">
        <v>18</v>
      </c>
      <c r="J101" s="19">
        <v>2929</v>
      </c>
      <c r="K101" s="20">
        <v>1.25E-3</v>
      </c>
      <c r="L101" s="21"/>
    </row>
    <row r="102" spans="1:12" x14ac:dyDescent="0.3">
      <c r="A102" s="14" t="s">
        <v>23</v>
      </c>
      <c r="B102" s="15">
        <v>2200032684</v>
      </c>
      <c r="C102" s="16">
        <v>45925</v>
      </c>
      <c r="D102" s="17">
        <v>1E-3</v>
      </c>
      <c r="E102" s="15">
        <v>1125072315</v>
      </c>
      <c r="F102" s="18" t="s">
        <v>15</v>
      </c>
      <c r="G102" s="18" t="s">
        <v>16</v>
      </c>
      <c r="H102" s="18" t="s">
        <v>20</v>
      </c>
      <c r="I102" s="19" t="s">
        <v>18</v>
      </c>
      <c r="J102" s="19">
        <v>2929</v>
      </c>
      <c r="K102" s="20">
        <v>1.25E-3</v>
      </c>
      <c r="L102" s="21"/>
    </row>
    <row r="103" spans="1:12" x14ac:dyDescent="0.3">
      <c r="A103" s="25" t="s">
        <v>23</v>
      </c>
      <c r="B103" s="26">
        <v>2200032684</v>
      </c>
      <c r="C103" s="27">
        <v>45925</v>
      </c>
      <c r="D103" s="28">
        <v>1E-3</v>
      </c>
      <c r="E103" s="26">
        <v>1125072316</v>
      </c>
      <c r="F103" s="29" t="s">
        <v>15</v>
      </c>
      <c r="G103" s="18" t="s">
        <v>16</v>
      </c>
      <c r="H103" s="18" t="s">
        <v>20</v>
      </c>
      <c r="I103" s="30" t="s">
        <v>18</v>
      </c>
      <c r="J103" s="30">
        <v>2929</v>
      </c>
      <c r="K103" s="31">
        <v>1.25E-3</v>
      </c>
      <c r="L103" s="21"/>
    </row>
    <row r="104" spans="1:12" x14ac:dyDescent="0.3">
      <c r="A104" s="14" t="s">
        <v>23</v>
      </c>
      <c r="B104" s="15">
        <v>2200032684</v>
      </c>
      <c r="C104" s="16">
        <v>45925</v>
      </c>
      <c r="D104" s="17">
        <v>1E-3</v>
      </c>
      <c r="E104" s="15">
        <v>1125072317</v>
      </c>
      <c r="F104" s="18" t="s">
        <v>15</v>
      </c>
      <c r="G104" s="18" t="s">
        <v>16</v>
      </c>
      <c r="H104" s="18" t="s">
        <v>20</v>
      </c>
      <c r="I104" s="19" t="s">
        <v>18</v>
      </c>
      <c r="J104" s="19">
        <v>2929</v>
      </c>
      <c r="K104" s="20">
        <v>1.25E-3</v>
      </c>
      <c r="L104" s="21"/>
    </row>
    <row r="105" spans="1:12" x14ac:dyDescent="0.3">
      <c r="A105" s="14" t="s">
        <v>23</v>
      </c>
      <c r="B105" s="15">
        <v>2200032684</v>
      </c>
      <c r="C105" s="16">
        <v>45925</v>
      </c>
      <c r="D105" s="17">
        <v>1E-3</v>
      </c>
      <c r="E105" s="15">
        <v>1125072318</v>
      </c>
      <c r="F105" s="18" t="s">
        <v>15</v>
      </c>
      <c r="G105" s="18" t="s">
        <v>16</v>
      </c>
      <c r="H105" s="18" t="s">
        <v>20</v>
      </c>
      <c r="I105" s="19" t="s">
        <v>18</v>
      </c>
      <c r="J105" s="19">
        <v>2929</v>
      </c>
      <c r="K105" s="20">
        <v>1.25E-3</v>
      </c>
      <c r="L105" s="21"/>
    </row>
    <row r="106" spans="1:12" x14ac:dyDescent="0.3">
      <c r="A106" s="14" t="s">
        <v>23</v>
      </c>
      <c r="B106" s="15">
        <v>2200032684</v>
      </c>
      <c r="C106" s="16">
        <v>45925</v>
      </c>
      <c r="D106" s="17">
        <v>1E-3</v>
      </c>
      <c r="E106" s="15">
        <v>1125072322</v>
      </c>
      <c r="F106" s="18" t="s">
        <v>15</v>
      </c>
      <c r="G106" s="18" t="s">
        <v>16</v>
      </c>
      <c r="H106" s="18" t="s">
        <v>20</v>
      </c>
      <c r="I106" s="19" t="s">
        <v>18</v>
      </c>
      <c r="J106" s="19">
        <v>2929</v>
      </c>
      <c r="K106" s="20">
        <v>1.25E-3</v>
      </c>
      <c r="L106" s="21"/>
    </row>
    <row r="107" spans="1:12" x14ac:dyDescent="0.3">
      <c r="A107" s="14" t="s">
        <v>23</v>
      </c>
      <c r="B107" s="15">
        <v>2200032684</v>
      </c>
      <c r="C107" s="16">
        <v>45925</v>
      </c>
      <c r="D107" s="17">
        <v>1E-3</v>
      </c>
      <c r="E107" s="15">
        <v>1125072323</v>
      </c>
      <c r="F107" s="18" t="s">
        <v>15</v>
      </c>
      <c r="G107" s="18" t="s">
        <v>16</v>
      </c>
      <c r="H107" s="18" t="s">
        <v>20</v>
      </c>
      <c r="I107" s="19" t="s">
        <v>18</v>
      </c>
      <c r="J107" s="19">
        <v>2929</v>
      </c>
      <c r="K107" s="20">
        <v>1.25E-3</v>
      </c>
      <c r="L107" s="21"/>
    </row>
    <row r="108" spans="1:12" x14ac:dyDescent="0.3">
      <c r="A108" s="14" t="s">
        <v>14</v>
      </c>
      <c r="B108" s="15">
        <v>2200032900</v>
      </c>
      <c r="C108" s="16">
        <v>45926</v>
      </c>
      <c r="D108" s="17">
        <v>5</v>
      </c>
      <c r="E108" s="15">
        <v>1125072613</v>
      </c>
      <c r="F108" s="18" t="s">
        <v>15</v>
      </c>
      <c r="G108" s="18" t="s">
        <v>16</v>
      </c>
      <c r="H108" s="18" t="s">
        <v>20</v>
      </c>
      <c r="I108" s="19" t="s">
        <v>18</v>
      </c>
      <c r="J108" s="19">
        <v>2929</v>
      </c>
      <c r="K108" s="20">
        <v>5.13</v>
      </c>
      <c r="L108" s="21"/>
    </row>
    <row r="109" spans="1:12" x14ac:dyDescent="0.3">
      <c r="A109" s="14" t="s">
        <v>23</v>
      </c>
      <c r="B109" s="15">
        <v>2200032900</v>
      </c>
      <c r="C109" s="16">
        <v>45926</v>
      </c>
      <c r="D109" s="17">
        <v>1E-3</v>
      </c>
      <c r="E109" s="15">
        <v>1125072613</v>
      </c>
      <c r="F109" s="18" t="s">
        <v>15</v>
      </c>
      <c r="G109" s="18" t="s">
        <v>16</v>
      </c>
      <c r="H109" s="18" t="s">
        <v>20</v>
      </c>
      <c r="I109" s="19" t="s">
        <v>18</v>
      </c>
      <c r="J109" s="19">
        <v>2929</v>
      </c>
      <c r="K109" s="20">
        <v>1.25E-3</v>
      </c>
      <c r="L109" s="21"/>
    </row>
    <row r="110" spans="1:12" x14ac:dyDescent="0.3">
      <c r="A110" s="14" t="s">
        <v>14</v>
      </c>
      <c r="B110" s="15">
        <v>2200032900</v>
      </c>
      <c r="C110" s="16">
        <v>45926</v>
      </c>
      <c r="D110" s="17">
        <v>5</v>
      </c>
      <c r="E110" s="15">
        <v>1125072622</v>
      </c>
      <c r="F110" s="18" t="s">
        <v>15</v>
      </c>
      <c r="G110" s="18" t="s">
        <v>16</v>
      </c>
      <c r="H110" s="18" t="s">
        <v>20</v>
      </c>
      <c r="I110" s="19" t="s">
        <v>18</v>
      </c>
      <c r="J110" s="19">
        <v>2929</v>
      </c>
      <c r="K110" s="20">
        <v>5.13</v>
      </c>
      <c r="L110" s="21"/>
    </row>
    <row r="111" spans="1:12" x14ac:dyDescent="0.3">
      <c r="A111" s="14" t="s">
        <v>23</v>
      </c>
      <c r="B111" s="15">
        <v>2200032900</v>
      </c>
      <c r="C111" s="16">
        <v>45926</v>
      </c>
      <c r="D111" s="17">
        <v>1E-3</v>
      </c>
      <c r="E111" s="15">
        <v>1125072622</v>
      </c>
      <c r="F111" s="18" t="s">
        <v>15</v>
      </c>
      <c r="G111" s="18" t="s">
        <v>16</v>
      </c>
      <c r="H111" s="18" t="s">
        <v>20</v>
      </c>
      <c r="I111" s="19" t="s">
        <v>18</v>
      </c>
      <c r="J111" s="19">
        <v>2929</v>
      </c>
      <c r="K111" s="20">
        <v>1.25E-3</v>
      </c>
      <c r="L111" s="21"/>
    </row>
    <row r="112" spans="1:12" x14ac:dyDescent="0.3">
      <c r="A112" s="14" t="s">
        <v>14</v>
      </c>
      <c r="B112" s="15">
        <v>2200032900</v>
      </c>
      <c r="C112" s="16">
        <v>45926</v>
      </c>
      <c r="D112" s="17">
        <v>5</v>
      </c>
      <c r="E112" s="15">
        <v>1125072623</v>
      </c>
      <c r="F112" s="18" t="s">
        <v>15</v>
      </c>
      <c r="G112" s="18" t="s">
        <v>16</v>
      </c>
      <c r="H112" s="18" t="s">
        <v>20</v>
      </c>
      <c r="I112" s="19" t="s">
        <v>18</v>
      </c>
      <c r="J112" s="19">
        <v>2929</v>
      </c>
      <c r="K112" s="20">
        <v>5.13</v>
      </c>
      <c r="L112" s="21"/>
    </row>
    <row r="113" spans="1:12" x14ac:dyDescent="0.3">
      <c r="A113" s="14" t="s">
        <v>14</v>
      </c>
      <c r="B113" s="15">
        <v>2200032901</v>
      </c>
      <c r="C113" s="16">
        <v>45926</v>
      </c>
      <c r="D113" s="17">
        <v>5</v>
      </c>
      <c r="E113" s="15">
        <v>1125072745</v>
      </c>
      <c r="F113" s="18" t="s">
        <v>15</v>
      </c>
      <c r="G113" s="18" t="s">
        <v>16</v>
      </c>
      <c r="H113" s="18" t="s">
        <v>20</v>
      </c>
      <c r="I113" s="19" t="s">
        <v>18</v>
      </c>
      <c r="J113" s="19">
        <v>2929</v>
      </c>
      <c r="K113" s="20">
        <v>5.13</v>
      </c>
      <c r="L113" s="21"/>
    </row>
    <row r="114" spans="1:12" x14ac:dyDescent="0.3">
      <c r="A114" s="14" t="s">
        <v>14</v>
      </c>
      <c r="B114" s="15">
        <v>2200032901</v>
      </c>
      <c r="C114" s="16">
        <v>45926</v>
      </c>
      <c r="D114" s="17">
        <v>5</v>
      </c>
      <c r="E114" s="15">
        <v>1125072746</v>
      </c>
      <c r="F114" s="18" t="s">
        <v>15</v>
      </c>
      <c r="G114" s="18" t="s">
        <v>16</v>
      </c>
      <c r="H114" s="18" t="s">
        <v>20</v>
      </c>
      <c r="I114" s="19" t="s">
        <v>18</v>
      </c>
      <c r="J114" s="19">
        <v>2929</v>
      </c>
      <c r="K114" s="20">
        <v>5.13</v>
      </c>
      <c r="L114" s="21"/>
    </row>
    <row r="115" spans="1:12" x14ac:dyDescent="0.3">
      <c r="A115" s="14" t="s">
        <v>14</v>
      </c>
      <c r="B115" s="15">
        <v>2200032901</v>
      </c>
      <c r="C115" s="16">
        <v>45926</v>
      </c>
      <c r="D115" s="17">
        <v>5</v>
      </c>
      <c r="E115" s="15">
        <v>1125072747</v>
      </c>
      <c r="F115" s="18" t="s">
        <v>15</v>
      </c>
      <c r="G115" s="18" t="s">
        <v>16</v>
      </c>
      <c r="H115" s="18" t="s">
        <v>20</v>
      </c>
      <c r="I115" s="19" t="s">
        <v>18</v>
      </c>
      <c r="J115" s="19">
        <v>2929</v>
      </c>
      <c r="K115" s="20">
        <v>5.13</v>
      </c>
      <c r="L115" s="21"/>
    </row>
    <row r="116" spans="1:12" x14ac:dyDescent="0.3">
      <c r="A116" s="14" t="s">
        <v>14</v>
      </c>
      <c r="B116" s="15">
        <v>2200032901</v>
      </c>
      <c r="C116" s="16">
        <v>45926</v>
      </c>
      <c r="D116" s="17">
        <v>5</v>
      </c>
      <c r="E116" s="15">
        <v>1125072752</v>
      </c>
      <c r="F116" s="18" t="s">
        <v>15</v>
      </c>
      <c r="G116" s="18" t="s">
        <v>16</v>
      </c>
      <c r="H116" s="18" t="s">
        <v>20</v>
      </c>
      <c r="I116" s="19" t="s">
        <v>18</v>
      </c>
      <c r="J116" s="19">
        <v>2929</v>
      </c>
      <c r="K116" s="20">
        <v>5.13</v>
      </c>
      <c r="L116" s="21"/>
    </row>
    <row r="117" spans="1:12" x14ac:dyDescent="0.3">
      <c r="A117" s="14" t="s">
        <v>14</v>
      </c>
      <c r="B117" s="15">
        <v>2200032901</v>
      </c>
      <c r="C117" s="16">
        <v>45926</v>
      </c>
      <c r="D117" s="17">
        <v>5</v>
      </c>
      <c r="E117" s="15">
        <v>1125072803</v>
      </c>
      <c r="F117" s="18" t="s">
        <v>15</v>
      </c>
      <c r="G117" s="18" t="s">
        <v>16</v>
      </c>
      <c r="H117" s="18" t="s">
        <v>20</v>
      </c>
      <c r="I117" s="19" t="s">
        <v>18</v>
      </c>
      <c r="J117" s="19">
        <v>2929</v>
      </c>
      <c r="K117" s="20">
        <v>5.13</v>
      </c>
      <c r="L117" s="21"/>
    </row>
    <row r="118" spans="1:12" x14ac:dyDescent="0.3">
      <c r="A118" s="14" t="s">
        <v>23</v>
      </c>
      <c r="B118" s="15">
        <v>2200032900</v>
      </c>
      <c r="C118" s="16">
        <v>45926</v>
      </c>
      <c r="D118" s="17">
        <v>1E-3</v>
      </c>
      <c r="E118" s="15">
        <v>1125072623</v>
      </c>
      <c r="F118" s="18" t="s">
        <v>15</v>
      </c>
      <c r="G118" s="18" t="s">
        <v>16</v>
      </c>
      <c r="H118" s="18" t="s">
        <v>20</v>
      </c>
      <c r="I118" s="19" t="s">
        <v>18</v>
      </c>
      <c r="J118" s="19">
        <v>2929</v>
      </c>
      <c r="K118" s="20">
        <v>1.25E-3</v>
      </c>
      <c r="L118" s="21"/>
    </row>
    <row r="119" spans="1:12" x14ac:dyDescent="0.3">
      <c r="A119" s="14" t="s">
        <v>14</v>
      </c>
      <c r="B119" s="15">
        <v>2200032900</v>
      </c>
      <c r="C119" s="16">
        <v>45926</v>
      </c>
      <c r="D119" s="17">
        <v>5</v>
      </c>
      <c r="E119" s="15">
        <v>1125072624</v>
      </c>
      <c r="F119" s="18" t="s">
        <v>15</v>
      </c>
      <c r="G119" s="18" t="s">
        <v>16</v>
      </c>
      <c r="H119" s="18" t="s">
        <v>20</v>
      </c>
      <c r="I119" s="19" t="s">
        <v>18</v>
      </c>
      <c r="J119" s="19">
        <v>2929</v>
      </c>
      <c r="K119" s="20">
        <v>5.13</v>
      </c>
      <c r="L119" s="21"/>
    </row>
    <row r="120" spans="1:12" x14ac:dyDescent="0.3">
      <c r="A120" s="14" t="s">
        <v>23</v>
      </c>
      <c r="B120" s="15">
        <v>2200032900</v>
      </c>
      <c r="C120" s="16">
        <v>45926</v>
      </c>
      <c r="D120" s="17">
        <v>1E-3</v>
      </c>
      <c r="E120" s="15">
        <v>1125072624</v>
      </c>
      <c r="F120" s="18" t="s">
        <v>15</v>
      </c>
      <c r="G120" s="18" t="s">
        <v>16</v>
      </c>
      <c r="H120" s="18" t="s">
        <v>20</v>
      </c>
      <c r="I120" s="19" t="s">
        <v>18</v>
      </c>
      <c r="J120" s="19">
        <v>2929</v>
      </c>
      <c r="K120" s="20">
        <v>1.25E-3</v>
      </c>
      <c r="L120" s="21"/>
    </row>
    <row r="121" spans="1:12" x14ac:dyDescent="0.3">
      <c r="A121" s="14" t="s">
        <v>14</v>
      </c>
      <c r="B121" s="15">
        <v>2200032900</v>
      </c>
      <c r="C121" s="16">
        <v>45926</v>
      </c>
      <c r="D121" s="17">
        <v>5</v>
      </c>
      <c r="E121" s="15">
        <v>1125072625</v>
      </c>
      <c r="F121" s="18" t="s">
        <v>15</v>
      </c>
      <c r="G121" s="18" t="s">
        <v>16</v>
      </c>
      <c r="H121" s="18" t="s">
        <v>20</v>
      </c>
      <c r="I121" s="19" t="s">
        <v>18</v>
      </c>
      <c r="J121" s="19">
        <v>2929</v>
      </c>
      <c r="K121" s="20">
        <v>5.13</v>
      </c>
      <c r="L121" s="21"/>
    </row>
    <row r="122" spans="1:12" x14ac:dyDescent="0.3">
      <c r="A122" s="14" t="s">
        <v>23</v>
      </c>
      <c r="B122" s="15">
        <v>2200032900</v>
      </c>
      <c r="C122" s="16">
        <v>45926</v>
      </c>
      <c r="D122" s="17">
        <v>1E-3</v>
      </c>
      <c r="E122" s="15">
        <v>1125072625</v>
      </c>
      <c r="F122" s="18" t="s">
        <v>15</v>
      </c>
      <c r="G122" s="18" t="s">
        <v>16</v>
      </c>
      <c r="H122" s="18" t="s">
        <v>20</v>
      </c>
      <c r="I122" s="19" t="s">
        <v>18</v>
      </c>
      <c r="J122" s="19">
        <v>2929</v>
      </c>
      <c r="K122" s="20">
        <v>1.25E-3</v>
      </c>
      <c r="L122" s="21"/>
    </row>
    <row r="123" spans="1:12" x14ac:dyDescent="0.3">
      <c r="A123" s="14" t="s">
        <v>14</v>
      </c>
      <c r="B123" s="15">
        <v>2200032900</v>
      </c>
      <c r="C123" s="16">
        <v>45929</v>
      </c>
      <c r="D123" s="17">
        <v>5</v>
      </c>
      <c r="E123" s="15">
        <v>1125072628</v>
      </c>
      <c r="F123" s="18" t="s">
        <v>15</v>
      </c>
      <c r="G123" s="18" t="s">
        <v>16</v>
      </c>
      <c r="H123" s="18" t="s">
        <v>20</v>
      </c>
      <c r="I123" s="19" t="s">
        <v>18</v>
      </c>
      <c r="J123" s="19">
        <v>2929</v>
      </c>
      <c r="K123" s="20">
        <v>5.13</v>
      </c>
      <c r="L123" s="21"/>
    </row>
    <row r="124" spans="1:12" x14ac:dyDescent="0.3">
      <c r="A124" s="14" t="s">
        <v>23</v>
      </c>
      <c r="B124" s="15">
        <v>2200032900</v>
      </c>
      <c r="C124" s="16">
        <v>45929</v>
      </c>
      <c r="D124" s="17">
        <v>1E-3</v>
      </c>
      <c r="E124" s="15">
        <v>1125072628</v>
      </c>
      <c r="F124" s="18" t="s">
        <v>15</v>
      </c>
      <c r="G124" s="18" t="s">
        <v>16</v>
      </c>
      <c r="H124" s="18" t="s">
        <v>20</v>
      </c>
      <c r="I124" s="19" t="s">
        <v>18</v>
      </c>
      <c r="J124" s="19">
        <v>2929</v>
      </c>
      <c r="K124" s="20">
        <v>1.25E-3</v>
      </c>
      <c r="L124" s="21"/>
    </row>
    <row r="125" spans="1:12" x14ac:dyDescent="0.3">
      <c r="A125" s="14" t="s">
        <v>14</v>
      </c>
      <c r="B125" s="15">
        <v>2200032900</v>
      </c>
      <c r="C125" s="16">
        <v>45929</v>
      </c>
      <c r="D125" s="17">
        <v>5</v>
      </c>
      <c r="E125" s="15">
        <v>1125072629</v>
      </c>
      <c r="F125" s="18" t="s">
        <v>15</v>
      </c>
      <c r="G125" s="18" t="s">
        <v>16</v>
      </c>
      <c r="H125" s="18" t="s">
        <v>20</v>
      </c>
      <c r="I125" s="19" t="s">
        <v>18</v>
      </c>
      <c r="J125" s="19">
        <v>2929</v>
      </c>
      <c r="K125" s="20">
        <v>5.13</v>
      </c>
      <c r="L125" s="21"/>
    </row>
    <row r="126" spans="1:12" x14ac:dyDescent="0.3">
      <c r="A126" s="14" t="s">
        <v>23</v>
      </c>
      <c r="B126" s="15">
        <v>2200032900</v>
      </c>
      <c r="C126" s="16">
        <v>45929</v>
      </c>
      <c r="D126" s="17">
        <v>1E-3</v>
      </c>
      <c r="E126" s="15">
        <v>1125072629</v>
      </c>
      <c r="F126" s="18" t="s">
        <v>15</v>
      </c>
      <c r="G126" s="18" t="s">
        <v>16</v>
      </c>
      <c r="H126" s="18" t="s">
        <v>20</v>
      </c>
      <c r="I126" s="19" t="s">
        <v>18</v>
      </c>
      <c r="J126" s="19">
        <v>2929</v>
      </c>
      <c r="K126" s="20">
        <v>1.25E-3</v>
      </c>
      <c r="L126" s="21"/>
    </row>
    <row r="127" spans="1:12" x14ac:dyDescent="0.3">
      <c r="A127" s="14" t="s">
        <v>23</v>
      </c>
      <c r="B127" s="15">
        <v>2200032901</v>
      </c>
      <c r="C127" s="16">
        <v>45926</v>
      </c>
      <c r="D127" s="17">
        <v>1E-3</v>
      </c>
      <c r="E127" s="15">
        <v>1125072745</v>
      </c>
      <c r="F127" s="18" t="s">
        <v>15</v>
      </c>
      <c r="G127" s="18" t="s">
        <v>16</v>
      </c>
      <c r="H127" s="18" t="s">
        <v>20</v>
      </c>
      <c r="I127" s="19" t="s">
        <v>18</v>
      </c>
      <c r="J127" s="19">
        <v>2929</v>
      </c>
      <c r="K127" s="20">
        <v>1.25E-3</v>
      </c>
      <c r="L127" s="21"/>
    </row>
    <row r="128" spans="1:12" x14ac:dyDescent="0.3">
      <c r="A128" s="14" t="s">
        <v>23</v>
      </c>
      <c r="B128" s="15">
        <v>2200032901</v>
      </c>
      <c r="C128" s="16">
        <v>45926</v>
      </c>
      <c r="D128" s="17">
        <v>1E-3</v>
      </c>
      <c r="E128" s="15">
        <v>1125072746</v>
      </c>
      <c r="F128" s="18" t="s">
        <v>15</v>
      </c>
      <c r="G128" s="18" t="s">
        <v>16</v>
      </c>
      <c r="H128" s="18" t="s">
        <v>20</v>
      </c>
      <c r="I128" s="19" t="s">
        <v>18</v>
      </c>
      <c r="J128" s="19">
        <v>2929</v>
      </c>
      <c r="K128" s="20">
        <v>1.25E-3</v>
      </c>
      <c r="L128" s="21"/>
    </row>
    <row r="129" spans="1:12" x14ac:dyDescent="0.3">
      <c r="A129" s="14" t="s">
        <v>23</v>
      </c>
      <c r="B129" s="15">
        <v>2200032901</v>
      </c>
      <c r="C129" s="16">
        <v>45926</v>
      </c>
      <c r="D129" s="17">
        <v>1E-3</v>
      </c>
      <c r="E129" s="15">
        <v>1125072747</v>
      </c>
      <c r="F129" s="18" t="s">
        <v>15</v>
      </c>
      <c r="G129" s="18" t="s">
        <v>16</v>
      </c>
      <c r="H129" s="18" t="s">
        <v>20</v>
      </c>
      <c r="I129" s="19" t="s">
        <v>18</v>
      </c>
      <c r="J129" s="19">
        <v>2929</v>
      </c>
      <c r="K129" s="20">
        <v>1.25E-3</v>
      </c>
      <c r="L129" s="21"/>
    </row>
    <row r="130" spans="1:12" x14ac:dyDescent="0.3">
      <c r="A130" s="14" t="s">
        <v>23</v>
      </c>
      <c r="B130" s="15">
        <v>2200032901</v>
      </c>
      <c r="C130" s="16">
        <v>45926</v>
      </c>
      <c r="D130" s="17">
        <v>1E-3</v>
      </c>
      <c r="E130" s="15">
        <v>1125072752</v>
      </c>
      <c r="F130" s="18" t="s">
        <v>15</v>
      </c>
      <c r="G130" s="18" t="s">
        <v>16</v>
      </c>
      <c r="H130" s="18" t="s">
        <v>20</v>
      </c>
      <c r="I130" s="19" t="s">
        <v>18</v>
      </c>
      <c r="J130" s="19">
        <v>2929</v>
      </c>
      <c r="K130" s="20">
        <v>1.25E-3</v>
      </c>
      <c r="L130" s="21"/>
    </row>
    <row r="131" spans="1:12" x14ac:dyDescent="0.3">
      <c r="A131" s="14" t="s">
        <v>23</v>
      </c>
      <c r="B131" s="15">
        <v>2200032901</v>
      </c>
      <c r="C131" s="16">
        <v>45926</v>
      </c>
      <c r="D131" s="17">
        <v>1E-3</v>
      </c>
      <c r="E131" s="15">
        <v>1125072803</v>
      </c>
      <c r="F131" s="18" t="s">
        <v>15</v>
      </c>
      <c r="G131" s="18" t="s">
        <v>16</v>
      </c>
      <c r="H131" s="18" t="s">
        <v>20</v>
      </c>
      <c r="I131" s="19" t="s">
        <v>18</v>
      </c>
      <c r="J131" s="19">
        <v>2929</v>
      </c>
      <c r="K131" s="20">
        <v>1.25E-3</v>
      </c>
      <c r="L131" s="21"/>
    </row>
    <row r="132" spans="1:12" x14ac:dyDescent="0.3">
      <c r="A132" s="14" t="s">
        <v>14</v>
      </c>
      <c r="B132" s="15">
        <v>2200032900</v>
      </c>
      <c r="C132" s="16">
        <v>45929</v>
      </c>
      <c r="D132" s="17">
        <v>5</v>
      </c>
      <c r="E132" s="15">
        <v>1125072638</v>
      </c>
      <c r="F132" s="18" t="s">
        <v>15</v>
      </c>
      <c r="G132" s="18" t="s">
        <v>16</v>
      </c>
      <c r="H132" s="18" t="s">
        <v>20</v>
      </c>
      <c r="I132" s="19" t="s">
        <v>18</v>
      </c>
      <c r="J132" s="19">
        <v>2929</v>
      </c>
      <c r="K132" s="20">
        <v>5.13</v>
      </c>
      <c r="L132" s="21"/>
    </row>
    <row r="133" spans="1:12" x14ac:dyDescent="0.3">
      <c r="A133" s="14" t="s">
        <v>23</v>
      </c>
      <c r="B133" s="15">
        <v>2200032900</v>
      </c>
      <c r="C133" s="16">
        <v>45929</v>
      </c>
      <c r="D133" s="17">
        <v>1E-3</v>
      </c>
      <c r="E133" s="15">
        <v>1125072638</v>
      </c>
      <c r="F133" s="18" t="s">
        <v>15</v>
      </c>
      <c r="G133" s="18" t="s">
        <v>16</v>
      </c>
      <c r="H133" s="18" t="s">
        <v>20</v>
      </c>
      <c r="I133" s="19" t="s">
        <v>18</v>
      </c>
      <c r="J133" s="19">
        <v>2929</v>
      </c>
      <c r="K133" s="20">
        <v>1.25E-3</v>
      </c>
      <c r="L133" s="21"/>
    </row>
    <row r="134" spans="1:12" x14ac:dyDescent="0.3">
      <c r="A134" s="14" t="s">
        <v>14</v>
      </c>
      <c r="B134" s="15">
        <v>2200032900</v>
      </c>
      <c r="C134" s="16">
        <v>45929</v>
      </c>
      <c r="D134" s="17">
        <v>5</v>
      </c>
      <c r="E134" s="15">
        <v>1125072639</v>
      </c>
      <c r="F134" s="18" t="s">
        <v>15</v>
      </c>
      <c r="G134" s="18" t="s">
        <v>16</v>
      </c>
      <c r="H134" s="18" t="s">
        <v>20</v>
      </c>
      <c r="I134" s="19" t="s">
        <v>18</v>
      </c>
      <c r="J134" s="19">
        <v>2929</v>
      </c>
      <c r="K134" s="20">
        <v>5.13</v>
      </c>
      <c r="L134" s="21"/>
    </row>
    <row r="135" spans="1:12" x14ac:dyDescent="0.3">
      <c r="A135" s="14" t="s">
        <v>23</v>
      </c>
      <c r="B135" s="15">
        <v>2200032900</v>
      </c>
      <c r="C135" s="16">
        <v>45929</v>
      </c>
      <c r="D135" s="17">
        <v>1E-3</v>
      </c>
      <c r="E135" s="15">
        <v>1125072639</v>
      </c>
      <c r="F135" s="18" t="s">
        <v>15</v>
      </c>
      <c r="G135" s="18" t="s">
        <v>16</v>
      </c>
      <c r="H135" s="18" t="s">
        <v>20</v>
      </c>
      <c r="I135" s="19" t="s">
        <v>18</v>
      </c>
      <c r="J135" s="19">
        <v>2929</v>
      </c>
      <c r="K135" s="20">
        <v>1.25E-3</v>
      </c>
      <c r="L135" s="21"/>
    </row>
    <row r="136" spans="1:12" x14ac:dyDescent="0.3">
      <c r="A136" s="14" t="s">
        <v>14</v>
      </c>
      <c r="B136" s="15">
        <v>2200032900</v>
      </c>
      <c r="C136" s="16">
        <v>45929</v>
      </c>
      <c r="D136" s="17">
        <v>5</v>
      </c>
      <c r="E136" s="15">
        <v>1125072640</v>
      </c>
      <c r="F136" s="18" t="s">
        <v>15</v>
      </c>
      <c r="G136" s="18" t="s">
        <v>16</v>
      </c>
      <c r="H136" s="18" t="s">
        <v>20</v>
      </c>
      <c r="I136" s="19" t="s">
        <v>18</v>
      </c>
      <c r="J136" s="19">
        <v>2929</v>
      </c>
      <c r="K136" s="20">
        <v>5.13</v>
      </c>
      <c r="L136" s="21"/>
    </row>
    <row r="137" spans="1:12" x14ac:dyDescent="0.3">
      <c r="A137" s="14" t="s">
        <v>23</v>
      </c>
      <c r="B137" s="15">
        <v>2200032900</v>
      </c>
      <c r="C137" s="16">
        <v>45929</v>
      </c>
      <c r="D137" s="17">
        <v>1E-3</v>
      </c>
      <c r="E137" s="15">
        <v>1125072640</v>
      </c>
      <c r="F137" s="18" t="s">
        <v>15</v>
      </c>
      <c r="G137" s="18" t="s">
        <v>16</v>
      </c>
      <c r="H137" s="18" t="s">
        <v>20</v>
      </c>
      <c r="I137" s="19" t="s">
        <v>18</v>
      </c>
      <c r="J137" s="19">
        <v>2929</v>
      </c>
      <c r="K137" s="20">
        <v>1.25E-3</v>
      </c>
      <c r="L137" s="21"/>
    </row>
    <row r="138" spans="1:12" x14ac:dyDescent="0.3">
      <c r="A138" s="14" t="s">
        <v>14</v>
      </c>
      <c r="B138" s="15">
        <v>2200032900</v>
      </c>
      <c r="C138" s="16">
        <v>45929</v>
      </c>
      <c r="D138" s="17">
        <v>5</v>
      </c>
      <c r="E138" s="15">
        <v>1125072641</v>
      </c>
      <c r="F138" s="18" t="s">
        <v>15</v>
      </c>
      <c r="G138" s="18" t="s">
        <v>16</v>
      </c>
      <c r="H138" s="18" t="s">
        <v>20</v>
      </c>
      <c r="I138" s="19" t="s">
        <v>18</v>
      </c>
      <c r="J138" s="19">
        <v>2929</v>
      </c>
      <c r="K138" s="20">
        <v>5.13</v>
      </c>
      <c r="L138" s="21"/>
    </row>
    <row r="139" spans="1:12" x14ac:dyDescent="0.3">
      <c r="A139" s="14" t="s">
        <v>23</v>
      </c>
      <c r="B139" s="15">
        <v>2200032900</v>
      </c>
      <c r="C139" s="16">
        <v>45929</v>
      </c>
      <c r="D139" s="17">
        <v>1E-3</v>
      </c>
      <c r="E139" s="15">
        <v>1125072641</v>
      </c>
      <c r="F139" s="18" t="s">
        <v>15</v>
      </c>
      <c r="G139" s="18" t="s">
        <v>16</v>
      </c>
      <c r="H139" s="18" t="s">
        <v>20</v>
      </c>
      <c r="I139" s="19" t="s">
        <v>18</v>
      </c>
      <c r="J139" s="19">
        <v>2929</v>
      </c>
      <c r="K139" s="20">
        <v>1.25E-3</v>
      </c>
      <c r="L139" s="21"/>
    </row>
    <row r="140" spans="1:12" x14ac:dyDescent="0.3">
      <c r="A140" s="14" t="s">
        <v>14</v>
      </c>
      <c r="B140" s="15">
        <v>2200032900</v>
      </c>
      <c r="C140" s="16">
        <v>45929</v>
      </c>
      <c r="D140" s="17">
        <v>5</v>
      </c>
      <c r="E140" s="15">
        <v>1125072643</v>
      </c>
      <c r="F140" s="18" t="s">
        <v>15</v>
      </c>
      <c r="G140" s="18" t="s">
        <v>16</v>
      </c>
      <c r="H140" s="18" t="s">
        <v>20</v>
      </c>
      <c r="I140" s="19" t="s">
        <v>18</v>
      </c>
      <c r="J140" s="19">
        <v>2929</v>
      </c>
      <c r="K140" s="20">
        <v>5.13</v>
      </c>
      <c r="L140" s="21"/>
    </row>
    <row r="141" spans="1:12" x14ac:dyDescent="0.3">
      <c r="A141" s="14" t="s">
        <v>23</v>
      </c>
      <c r="B141" s="15">
        <v>2200032900</v>
      </c>
      <c r="C141" s="16">
        <v>45929</v>
      </c>
      <c r="D141" s="17">
        <v>1E-3</v>
      </c>
      <c r="E141" s="15">
        <v>1125072643</v>
      </c>
      <c r="F141" s="18" t="s">
        <v>15</v>
      </c>
      <c r="G141" s="18" t="s">
        <v>16</v>
      </c>
      <c r="H141" s="18" t="s">
        <v>20</v>
      </c>
      <c r="I141" s="19" t="s">
        <v>18</v>
      </c>
      <c r="J141" s="19">
        <v>2929</v>
      </c>
      <c r="K141" s="20">
        <v>1.25E-3</v>
      </c>
      <c r="L141" s="21"/>
    </row>
    <row r="142" spans="1:12" x14ac:dyDescent="0.3">
      <c r="A142" s="14" t="s">
        <v>14</v>
      </c>
      <c r="B142" s="15">
        <v>2200032900</v>
      </c>
      <c r="C142" s="16">
        <v>45929</v>
      </c>
      <c r="D142" s="17">
        <v>5</v>
      </c>
      <c r="E142" s="15">
        <v>1125072644</v>
      </c>
      <c r="F142" s="18" t="s">
        <v>15</v>
      </c>
      <c r="G142" s="18" t="s">
        <v>16</v>
      </c>
      <c r="H142" s="18" t="s">
        <v>20</v>
      </c>
      <c r="I142" s="19" t="s">
        <v>18</v>
      </c>
      <c r="J142" s="19">
        <v>2929</v>
      </c>
      <c r="K142" s="20">
        <v>5.13</v>
      </c>
      <c r="L142" s="21"/>
    </row>
    <row r="143" spans="1:12" x14ac:dyDescent="0.3">
      <c r="A143" s="14" t="s">
        <v>23</v>
      </c>
      <c r="B143" s="15">
        <v>2200032900</v>
      </c>
      <c r="C143" s="16">
        <v>45929</v>
      </c>
      <c r="D143" s="17">
        <v>1E-3</v>
      </c>
      <c r="E143" s="15">
        <v>1125072644</v>
      </c>
      <c r="F143" s="18" t="s">
        <v>15</v>
      </c>
      <c r="G143" s="18" t="s">
        <v>16</v>
      </c>
      <c r="H143" s="18" t="s">
        <v>20</v>
      </c>
      <c r="I143" s="19" t="s">
        <v>18</v>
      </c>
      <c r="J143" s="19">
        <v>2929</v>
      </c>
      <c r="K143" s="20">
        <v>1.25E-3</v>
      </c>
      <c r="L143" s="21"/>
    </row>
    <row r="144" spans="1:12" x14ac:dyDescent="0.3">
      <c r="A144" s="14" t="s">
        <v>14</v>
      </c>
      <c r="B144" s="15">
        <v>2200032901</v>
      </c>
      <c r="C144" s="16">
        <v>45929</v>
      </c>
      <c r="D144" s="17">
        <v>5</v>
      </c>
      <c r="E144" s="15">
        <v>1125072939</v>
      </c>
      <c r="F144" s="18" t="s">
        <v>15</v>
      </c>
      <c r="G144" s="18" t="s">
        <v>16</v>
      </c>
      <c r="H144" s="18" t="s">
        <v>20</v>
      </c>
      <c r="I144" s="19" t="s">
        <v>18</v>
      </c>
      <c r="J144" s="19">
        <v>2929</v>
      </c>
      <c r="K144" s="20">
        <v>5.13</v>
      </c>
      <c r="L144" s="21"/>
    </row>
    <row r="145" spans="1:12" x14ac:dyDescent="0.3">
      <c r="A145" s="14" t="s">
        <v>14</v>
      </c>
      <c r="B145" s="15">
        <v>2200032901</v>
      </c>
      <c r="C145" s="16">
        <v>45929</v>
      </c>
      <c r="D145" s="17">
        <v>5</v>
      </c>
      <c r="E145" s="15">
        <v>1125072940</v>
      </c>
      <c r="F145" s="18" t="s">
        <v>15</v>
      </c>
      <c r="G145" s="18" t="s">
        <v>16</v>
      </c>
      <c r="H145" s="18" t="s">
        <v>20</v>
      </c>
      <c r="I145" s="19" t="s">
        <v>18</v>
      </c>
      <c r="J145" s="19">
        <v>2929</v>
      </c>
      <c r="K145" s="20">
        <v>5.13</v>
      </c>
      <c r="L145" s="21"/>
    </row>
    <row r="146" spans="1:12" x14ac:dyDescent="0.3">
      <c r="A146" s="14" t="s">
        <v>14</v>
      </c>
      <c r="B146" s="15">
        <v>2200032901</v>
      </c>
      <c r="C146" s="16">
        <v>45929</v>
      </c>
      <c r="D146" s="17">
        <v>5</v>
      </c>
      <c r="E146" s="15">
        <v>1125072941</v>
      </c>
      <c r="F146" s="18" t="s">
        <v>15</v>
      </c>
      <c r="G146" s="18" t="s">
        <v>16</v>
      </c>
      <c r="H146" s="18" t="s">
        <v>20</v>
      </c>
      <c r="I146" s="19" t="s">
        <v>18</v>
      </c>
      <c r="J146" s="19">
        <v>2929</v>
      </c>
      <c r="K146" s="20">
        <v>5.13</v>
      </c>
      <c r="L146" s="21"/>
    </row>
    <row r="147" spans="1:12" x14ac:dyDescent="0.3">
      <c r="A147" s="14" t="s">
        <v>14</v>
      </c>
      <c r="B147" s="15">
        <v>2200032901</v>
      </c>
      <c r="C147" s="16">
        <v>45929</v>
      </c>
      <c r="D147" s="17">
        <v>5</v>
      </c>
      <c r="E147" s="15">
        <v>1125072942</v>
      </c>
      <c r="F147" s="18" t="s">
        <v>15</v>
      </c>
      <c r="G147" s="18" t="s">
        <v>16</v>
      </c>
      <c r="H147" s="18" t="s">
        <v>20</v>
      </c>
      <c r="I147" s="19" t="s">
        <v>18</v>
      </c>
      <c r="J147" s="19">
        <v>2929</v>
      </c>
      <c r="K147" s="20">
        <v>5.13</v>
      </c>
      <c r="L147" s="21"/>
    </row>
    <row r="148" spans="1:12" x14ac:dyDescent="0.3">
      <c r="A148" s="14" t="s">
        <v>14</v>
      </c>
      <c r="B148" s="15">
        <v>2200032901</v>
      </c>
      <c r="C148" s="16">
        <v>45929</v>
      </c>
      <c r="D148" s="17">
        <v>5</v>
      </c>
      <c r="E148" s="15">
        <v>1125073013</v>
      </c>
      <c r="F148" s="18" t="s">
        <v>15</v>
      </c>
      <c r="G148" s="18" t="s">
        <v>16</v>
      </c>
      <c r="H148" s="18" t="s">
        <v>20</v>
      </c>
      <c r="I148" s="19" t="s">
        <v>18</v>
      </c>
      <c r="J148" s="19">
        <v>2929</v>
      </c>
      <c r="K148" s="20">
        <v>5.13</v>
      </c>
      <c r="L148" s="21"/>
    </row>
    <row r="149" spans="1:12" x14ac:dyDescent="0.3">
      <c r="A149" s="14" t="s">
        <v>14</v>
      </c>
      <c r="B149" s="15">
        <v>2200032901</v>
      </c>
      <c r="C149" s="16">
        <v>45929</v>
      </c>
      <c r="D149" s="17">
        <v>5</v>
      </c>
      <c r="E149" s="15">
        <v>1125073014</v>
      </c>
      <c r="F149" s="18" t="s">
        <v>15</v>
      </c>
      <c r="G149" s="18" t="s">
        <v>16</v>
      </c>
      <c r="H149" s="18" t="s">
        <v>20</v>
      </c>
      <c r="I149" s="19" t="s">
        <v>18</v>
      </c>
      <c r="J149" s="19">
        <v>2929</v>
      </c>
      <c r="K149" s="20">
        <v>5.13</v>
      </c>
      <c r="L149" s="21"/>
    </row>
    <row r="150" spans="1:12" x14ac:dyDescent="0.3">
      <c r="A150" s="14" t="s">
        <v>14</v>
      </c>
      <c r="B150" s="15">
        <v>2200032901</v>
      </c>
      <c r="C150" s="16">
        <v>45929</v>
      </c>
      <c r="D150" s="17">
        <v>5</v>
      </c>
      <c r="E150" s="15">
        <v>1125073015</v>
      </c>
      <c r="F150" s="18" t="s">
        <v>15</v>
      </c>
      <c r="G150" s="18" t="s">
        <v>16</v>
      </c>
      <c r="H150" s="18" t="s">
        <v>20</v>
      </c>
      <c r="I150" s="19" t="s">
        <v>18</v>
      </c>
      <c r="J150" s="19">
        <v>2929</v>
      </c>
      <c r="K150" s="20">
        <v>5.13</v>
      </c>
      <c r="L150" s="21"/>
    </row>
    <row r="151" spans="1:12" x14ac:dyDescent="0.3">
      <c r="A151" s="14" t="s">
        <v>14</v>
      </c>
      <c r="B151" s="15">
        <v>2200032901</v>
      </c>
      <c r="C151" s="16">
        <v>45929</v>
      </c>
      <c r="D151" s="17">
        <v>5</v>
      </c>
      <c r="E151" s="15">
        <v>1125073022</v>
      </c>
      <c r="F151" s="18" t="s">
        <v>15</v>
      </c>
      <c r="G151" s="18" t="s">
        <v>16</v>
      </c>
      <c r="H151" s="18" t="s">
        <v>20</v>
      </c>
      <c r="I151" s="19" t="s">
        <v>18</v>
      </c>
      <c r="J151" s="19">
        <v>2929</v>
      </c>
      <c r="K151" s="20">
        <v>5.13</v>
      </c>
      <c r="L151" s="21"/>
    </row>
    <row r="152" spans="1:12" x14ac:dyDescent="0.3">
      <c r="A152" s="14" t="s">
        <v>14</v>
      </c>
      <c r="B152" s="15">
        <v>2200032901</v>
      </c>
      <c r="C152" s="16">
        <v>45929</v>
      </c>
      <c r="D152" s="17">
        <v>5</v>
      </c>
      <c r="E152" s="15">
        <v>1125073025</v>
      </c>
      <c r="F152" s="18" t="s">
        <v>15</v>
      </c>
      <c r="G152" s="18" t="s">
        <v>16</v>
      </c>
      <c r="H152" s="18" t="s">
        <v>20</v>
      </c>
      <c r="I152" s="19" t="s">
        <v>18</v>
      </c>
      <c r="J152" s="19">
        <v>2929</v>
      </c>
      <c r="K152" s="20">
        <v>5.13</v>
      </c>
      <c r="L152" s="21"/>
    </row>
    <row r="153" spans="1:12" x14ac:dyDescent="0.3">
      <c r="A153" s="14" t="s">
        <v>14</v>
      </c>
      <c r="B153" s="15">
        <v>2200032900</v>
      </c>
      <c r="C153" s="16">
        <v>45926</v>
      </c>
      <c r="D153" s="17">
        <v>5</v>
      </c>
      <c r="E153" s="15">
        <v>1125072645</v>
      </c>
      <c r="F153" s="18" t="s">
        <v>15</v>
      </c>
      <c r="G153" s="18" t="s">
        <v>16</v>
      </c>
      <c r="H153" s="18" t="s">
        <v>20</v>
      </c>
      <c r="I153" s="19" t="s">
        <v>18</v>
      </c>
      <c r="J153" s="19">
        <v>2929</v>
      </c>
      <c r="K153" s="20">
        <v>5.13</v>
      </c>
      <c r="L153" s="21"/>
    </row>
    <row r="154" spans="1:12" x14ac:dyDescent="0.3">
      <c r="A154" s="14" t="s">
        <v>23</v>
      </c>
      <c r="B154" s="15">
        <v>2200032900</v>
      </c>
      <c r="C154" s="16">
        <v>45926</v>
      </c>
      <c r="D154" s="17">
        <v>1E-3</v>
      </c>
      <c r="E154" s="15">
        <v>1125072645</v>
      </c>
      <c r="F154" s="18" t="s">
        <v>15</v>
      </c>
      <c r="G154" s="18" t="s">
        <v>16</v>
      </c>
      <c r="H154" s="18" t="s">
        <v>20</v>
      </c>
      <c r="I154" s="19" t="s">
        <v>18</v>
      </c>
      <c r="J154" s="19">
        <v>2929</v>
      </c>
      <c r="K154" s="20">
        <v>1.25E-3</v>
      </c>
      <c r="L154" s="21"/>
    </row>
    <row r="155" spans="1:12" x14ac:dyDescent="0.3">
      <c r="A155" s="14" t="s">
        <v>14</v>
      </c>
      <c r="B155" s="15">
        <v>2200032900</v>
      </c>
      <c r="C155" s="16">
        <v>45926</v>
      </c>
      <c r="D155" s="17">
        <v>5</v>
      </c>
      <c r="E155" s="15">
        <v>1125072646</v>
      </c>
      <c r="F155" s="18" t="s">
        <v>15</v>
      </c>
      <c r="G155" s="18" t="s">
        <v>16</v>
      </c>
      <c r="H155" s="18" t="s">
        <v>20</v>
      </c>
      <c r="I155" s="19" t="s">
        <v>18</v>
      </c>
      <c r="J155" s="19">
        <v>2929</v>
      </c>
      <c r="K155" s="20">
        <v>5.13</v>
      </c>
      <c r="L155" s="21"/>
    </row>
    <row r="156" spans="1:12" x14ac:dyDescent="0.3">
      <c r="A156" s="14" t="s">
        <v>23</v>
      </c>
      <c r="B156" s="15">
        <v>2200032900</v>
      </c>
      <c r="C156" s="16">
        <v>45926</v>
      </c>
      <c r="D156" s="17">
        <v>1E-3</v>
      </c>
      <c r="E156" s="15">
        <v>1125072646</v>
      </c>
      <c r="F156" s="18" t="s">
        <v>15</v>
      </c>
      <c r="G156" s="18" t="s">
        <v>16</v>
      </c>
      <c r="H156" s="18" t="s">
        <v>20</v>
      </c>
      <c r="I156" s="19" t="s">
        <v>18</v>
      </c>
      <c r="J156" s="19">
        <v>2929</v>
      </c>
      <c r="K156" s="20">
        <v>1.25E-3</v>
      </c>
      <c r="L156" s="21"/>
    </row>
    <row r="157" spans="1:12" x14ac:dyDescent="0.3">
      <c r="A157" s="14" t="s">
        <v>14</v>
      </c>
      <c r="B157" s="15">
        <v>2200032900</v>
      </c>
      <c r="C157" s="16">
        <v>45929</v>
      </c>
      <c r="D157" s="17">
        <v>5</v>
      </c>
      <c r="E157" s="15">
        <v>1125072728</v>
      </c>
      <c r="F157" s="18" t="s">
        <v>15</v>
      </c>
      <c r="G157" s="18" t="s">
        <v>16</v>
      </c>
      <c r="H157" s="18" t="s">
        <v>20</v>
      </c>
      <c r="I157" s="19" t="s">
        <v>18</v>
      </c>
      <c r="J157" s="19">
        <v>2929</v>
      </c>
      <c r="K157" s="20">
        <v>5.13</v>
      </c>
      <c r="L157" s="21"/>
    </row>
    <row r="158" spans="1:12" x14ac:dyDescent="0.3">
      <c r="A158" s="14" t="s">
        <v>23</v>
      </c>
      <c r="B158" s="15">
        <v>2200032900</v>
      </c>
      <c r="C158" s="16">
        <v>45929</v>
      </c>
      <c r="D158" s="17">
        <v>1E-3</v>
      </c>
      <c r="E158" s="15">
        <v>1125072728</v>
      </c>
      <c r="F158" s="18" t="s">
        <v>15</v>
      </c>
      <c r="G158" s="18" t="s">
        <v>16</v>
      </c>
      <c r="H158" s="18" t="s">
        <v>20</v>
      </c>
      <c r="I158" s="19" t="s">
        <v>18</v>
      </c>
      <c r="J158" s="19">
        <v>2929</v>
      </c>
      <c r="K158" s="20">
        <v>1.25E-3</v>
      </c>
      <c r="L158" s="21"/>
    </row>
    <row r="159" spans="1:12" x14ac:dyDescent="0.3">
      <c r="A159" s="14" t="s">
        <v>14</v>
      </c>
      <c r="B159" s="15">
        <v>2200032900</v>
      </c>
      <c r="C159" s="16">
        <v>45929</v>
      </c>
      <c r="D159" s="17">
        <v>5</v>
      </c>
      <c r="E159" s="15">
        <v>1125072804</v>
      </c>
      <c r="F159" s="18" t="s">
        <v>15</v>
      </c>
      <c r="G159" s="18" t="s">
        <v>16</v>
      </c>
      <c r="H159" s="18" t="s">
        <v>20</v>
      </c>
      <c r="I159" s="19" t="s">
        <v>18</v>
      </c>
      <c r="J159" s="19">
        <v>2929</v>
      </c>
      <c r="K159" s="20">
        <v>5.13</v>
      </c>
      <c r="L159" s="21"/>
    </row>
    <row r="160" spans="1:12" x14ac:dyDescent="0.3">
      <c r="A160" s="14" t="s">
        <v>23</v>
      </c>
      <c r="B160" s="15">
        <v>2200032900</v>
      </c>
      <c r="C160" s="16">
        <v>45929</v>
      </c>
      <c r="D160" s="17">
        <v>1E-3</v>
      </c>
      <c r="E160" s="15">
        <v>1125072804</v>
      </c>
      <c r="F160" s="18" t="s">
        <v>15</v>
      </c>
      <c r="G160" s="18" t="s">
        <v>16</v>
      </c>
      <c r="H160" s="18" t="s">
        <v>20</v>
      </c>
      <c r="I160" s="19" t="s">
        <v>18</v>
      </c>
      <c r="J160" s="19">
        <v>2929</v>
      </c>
      <c r="K160" s="20">
        <v>1.25E-3</v>
      </c>
      <c r="L160" s="21"/>
    </row>
    <row r="161" spans="1:12" x14ac:dyDescent="0.3">
      <c r="A161" s="14" t="s">
        <v>14</v>
      </c>
      <c r="B161" s="15">
        <v>2200032900</v>
      </c>
      <c r="C161" s="16">
        <v>45929</v>
      </c>
      <c r="D161" s="17">
        <v>5</v>
      </c>
      <c r="E161" s="15">
        <v>1125072805</v>
      </c>
      <c r="F161" s="18" t="s">
        <v>15</v>
      </c>
      <c r="G161" s="18" t="s">
        <v>16</v>
      </c>
      <c r="H161" s="18" t="s">
        <v>20</v>
      </c>
      <c r="I161" s="19" t="s">
        <v>18</v>
      </c>
      <c r="J161" s="19">
        <v>2929</v>
      </c>
      <c r="K161" s="20">
        <v>5.13</v>
      </c>
      <c r="L161" s="21"/>
    </row>
    <row r="162" spans="1:12" x14ac:dyDescent="0.3">
      <c r="A162" s="14" t="s">
        <v>23</v>
      </c>
      <c r="B162" s="15">
        <v>2200032900</v>
      </c>
      <c r="C162" s="16">
        <v>45929</v>
      </c>
      <c r="D162" s="17">
        <v>1E-3</v>
      </c>
      <c r="E162" s="15">
        <v>1125072805</v>
      </c>
      <c r="F162" s="18" t="s">
        <v>15</v>
      </c>
      <c r="G162" s="18" t="s">
        <v>16</v>
      </c>
      <c r="H162" s="18" t="s">
        <v>20</v>
      </c>
      <c r="I162" s="19" t="s">
        <v>18</v>
      </c>
      <c r="J162" s="19">
        <v>2929</v>
      </c>
      <c r="K162" s="20">
        <v>1.25E-3</v>
      </c>
      <c r="L162" s="21"/>
    </row>
    <row r="163" spans="1:12" x14ac:dyDescent="0.3">
      <c r="A163" s="14" t="s">
        <v>14</v>
      </c>
      <c r="B163" s="15">
        <v>2200032900</v>
      </c>
      <c r="C163" s="16">
        <v>45929</v>
      </c>
      <c r="D163" s="17">
        <v>5</v>
      </c>
      <c r="E163" s="15">
        <v>1125072806</v>
      </c>
      <c r="F163" s="18" t="s">
        <v>15</v>
      </c>
      <c r="G163" s="18" t="s">
        <v>16</v>
      </c>
      <c r="H163" s="18" t="s">
        <v>20</v>
      </c>
      <c r="I163" s="19" t="s">
        <v>18</v>
      </c>
      <c r="J163" s="19">
        <v>2929</v>
      </c>
      <c r="K163" s="20">
        <v>5.13</v>
      </c>
      <c r="L163" s="21"/>
    </row>
    <row r="164" spans="1:12" x14ac:dyDescent="0.3">
      <c r="A164" s="14" t="s">
        <v>23</v>
      </c>
      <c r="B164" s="15">
        <v>2200032900</v>
      </c>
      <c r="C164" s="16">
        <v>45929</v>
      </c>
      <c r="D164" s="17">
        <v>1E-3</v>
      </c>
      <c r="E164" s="15">
        <v>1125072806</v>
      </c>
      <c r="F164" s="18" t="s">
        <v>15</v>
      </c>
      <c r="G164" s="18" t="s">
        <v>16</v>
      </c>
      <c r="H164" s="18" t="s">
        <v>20</v>
      </c>
      <c r="I164" s="19" t="s">
        <v>18</v>
      </c>
      <c r="J164" s="19">
        <v>2929</v>
      </c>
      <c r="K164" s="20">
        <v>1.25E-3</v>
      </c>
      <c r="L164" s="21"/>
    </row>
    <row r="165" spans="1:12" x14ac:dyDescent="0.3">
      <c r="A165" s="14" t="s">
        <v>23</v>
      </c>
      <c r="B165" s="15">
        <v>2200032901</v>
      </c>
      <c r="C165" s="16">
        <v>45929</v>
      </c>
      <c r="D165" s="17">
        <v>1E-3</v>
      </c>
      <c r="E165" s="15">
        <v>1125072939</v>
      </c>
      <c r="F165" s="18" t="s">
        <v>15</v>
      </c>
      <c r="G165" s="18" t="s">
        <v>16</v>
      </c>
      <c r="H165" s="18" t="s">
        <v>20</v>
      </c>
      <c r="I165" s="19" t="s">
        <v>18</v>
      </c>
      <c r="J165" s="19">
        <v>2929</v>
      </c>
      <c r="K165" s="20">
        <v>1.25E-3</v>
      </c>
      <c r="L165" s="21"/>
    </row>
    <row r="166" spans="1:12" x14ac:dyDescent="0.3">
      <c r="A166" s="14" t="s">
        <v>23</v>
      </c>
      <c r="B166" s="15">
        <v>2200032901</v>
      </c>
      <c r="C166" s="16">
        <v>45929</v>
      </c>
      <c r="D166" s="17">
        <v>1E-3</v>
      </c>
      <c r="E166" s="15">
        <v>1125072940</v>
      </c>
      <c r="F166" s="18" t="s">
        <v>15</v>
      </c>
      <c r="G166" s="18" t="s">
        <v>16</v>
      </c>
      <c r="H166" s="18" t="s">
        <v>20</v>
      </c>
      <c r="I166" s="19" t="s">
        <v>18</v>
      </c>
      <c r="J166" s="19">
        <v>2929</v>
      </c>
      <c r="K166" s="20">
        <v>1.25E-3</v>
      </c>
      <c r="L166" s="21"/>
    </row>
    <row r="167" spans="1:12" x14ac:dyDescent="0.3">
      <c r="A167" s="14" t="s">
        <v>23</v>
      </c>
      <c r="B167" s="15">
        <v>2200032901</v>
      </c>
      <c r="C167" s="16">
        <v>45929</v>
      </c>
      <c r="D167" s="17">
        <v>1E-3</v>
      </c>
      <c r="E167" s="15">
        <v>1125072941</v>
      </c>
      <c r="F167" s="18" t="s">
        <v>15</v>
      </c>
      <c r="G167" s="18" t="s">
        <v>16</v>
      </c>
      <c r="H167" s="18" t="s">
        <v>20</v>
      </c>
      <c r="I167" s="19" t="s">
        <v>18</v>
      </c>
      <c r="J167" s="19">
        <v>2929</v>
      </c>
      <c r="K167" s="20">
        <v>1.25E-3</v>
      </c>
      <c r="L167" s="21"/>
    </row>
    <row r="168" spans="1:12" x14ac:dyDescent="0.3">
      <c r="A168" s="14" t="s">
        <v>23</v>
      </c>
      <c r="B168" s="15">
        <v>2200032901</v>
      </c>
      <c r="C168" s="16">
        <v>45929</v>
      </c>
      <c r="D168" s="17">
        <v>1E-3</v>
      </c>
      <c r="E168" s="15">
        <v>1125072942</v>
      </c>
      <c r="F168" s="18" t="s">
        <v>15</v>
      </c>
      <c r="G168" s="18" t="s">
        <v>16</v>
      </c>
      <c r="H168" s="18" t="s">
        <v>20</v>
      </c>
      <c r="I168" s="19" t="s">
        <v>18</v>
      </c>
      <c r="J168" s="19">
        <v>2929</v>
      </c>
      <c r="K168" s="20">
        <v>1.25E-3</v>
      </c>
      <c r="L168" s="21"/>
    </row>
    <row r="169" spans="1:12" x14ac:dyDescent="0.3">
      <c r="A169" s="14" t="s">
        <v>23</v>
      </c>
      <c r="B169" s="15">
        <v>2200032901</v>
      </c>
      <c r="C169" s="16">
        <v>45929</v>
      </c>
      <c r="D169" s="17">
        <v>1E-3</v>
      </c>
      <c r="E169" s="15">
        <v>1125073013</v>
      </c>
      <c r="F169" s="18" t="s">
        <v>15</v>
      </c>
      <c r="G169" s="18" t="s">
        <v>16</v>
      </c>
      <c r="H169" s="18" t="s">
        <v>20</v>
      </c>
      <c r="I169" s="19" t="s">
        <v>18</v>
      </c>
      <c r="J169" s="19">
        <v>2929</v>
      </c>
      <c r="K169" s="20">
        <v>1.25E-3</v>
      </c>
      <c r="L169" s="21"/>
    </row>
    <row r="170" spans="1:12" x14ac:dyDescent="0.3">
      <c r="A170" s="14" t="s">
        <v>23</v>
      </c>
      <c r="B170" s="15">
        <v>2200032901</v>
      </c>
      <c r="C170" s="16">
        <v>45929</v>
      </c>
      <c r="D170" s="17">
        <v>1E-3</v>
      </c>
      <c r="E170" s="15">
        <v>1125073014</v>
      </c>
      <c r="F170" s="18" t="s">
        <v>15</v>
      </c>
      <c r="G170" s="18" t="s">
        <v>16</v>
      </c>
      <c r="H170" s="18" t="s">
        <v>20</v>
      </c>
      <c r="I170" s="19" t="s">
        <v>18</v>
      </c>
      <c r="J170" s="19">
        <v>2929</v>
      </c>
      <c r="K170" s="20">
        <v>1.25E-3</v>
      </c>
      <c r="L170" s="21"/>
    </row>
    <row r="171" spans="1:12" x14ac:dyDescent="0.3">
      <c r="A171" s="14" t="s">
        <v>23</v>
      </c>
      <c r="B171" s="15">
        <v>2200032901</v>
      </c>
      <c r="C171" s="16">
        <v>45929</v>
      </c>
      <c r="D171" s="17">
        <v>1E-3</v>
      </c>
      <c r="E171" s="15">
        <v>1125073015</v>
      </c>
      <c r="F171" s="18" t="s">
        <v>15</v>
      </c>
      <c r="G171" s="18" t="s">
        <v>16</v>
      </c>
      <c r="H171" s="18" t="s">
        <v>20</v>
      </c>
      <c r="I171" s="19" t="s">
        <v>18</v>
      </c>
      <c r="J171" s="19">
        <v>2929</v>
      </c>
      <c r="K171" s="20">
        <v>1.25E-3</v>
      </c>
      <c r="L171" s="21"/>
    </row>
    <row r="172" spans="1:12" x14ac:dyDescent="0.3">
      <c r="A172" s="14" t="s">
        <v>23</v>
      </c>
      <c r="B172" s="15">
        <v>2200032901</v>
      </c>
      <c r="C172" s="16">
        <v>45929</v>
      </c>
      <c r="D172" s="17">
        <v>1E-3</v>
      </c>
      <c r="E172" s="15">
        <v>1125073022</v>
      </c>
      <c r="F172" s="18" t="s">
        <v>15</v>
      </c>
      <c r="G172" s="18" t="s">
        <v>16</v>
      </c>
      <c r="H172" s="18" t="s">
        <v>20</v>
      </c>
      <c r="I172" s="19" t="s">
        <v>18</v>
      </c>
      <c r="J172" s="19">
        <v>2929</v>
      </c>
      <c r="K172" s="20">
        <v>1.25E-3</v>
      </c>
      <c r="L172" s="21"/>
    </row>
    <row r="173" spans="1:12" x14ac:dyDescent="0.3">
      <c r="A173" s="14" t="s">
        <v>23</v>
      </c>
      <c r="B173" s="15">
        <v>2200032901</v>
      </c>
      <c r="C173" s="16">
        <v>45929</v>
      </c>
      <c r="D173" s="17">
        <v>1E-3</v>
      </c>
      <c r="E173" s="15">
        <v>1125073025</v>
      </c>
      <c r="F173" s="18" t="s">
        <v>15</v>
      </c>
      <c r="G173" s="18" t="s">
        <v>16</v>
      </c>
      <c r="H173" s="18" t="s">
        <v>20</v>
      </c>
      <c r="I173" s="19" t="s">
        <v>18</v>
      </c>
      <c r="J173" s="19">
        <v>2929</v>
      </c>
      <c r="K173" s="20">
        <v>1.25E-3</v>
      </c>
      <c r="L173" s="21"/>
    </row>
    <row r="174" spans="1:12" x14ac:dyDescent="0.3">
      <c r="A174" s="14" t="s">
        <v>14</v>
      </c>
      <c r="B174" s="15">
        <v>2200032902</v>
      </c>
      <c r="C174" s="16">
        <v>45943</v>
      </c>
      <c r="D174" s="17">
        <v>5</v>
      </c>
      <c r="E174" s="15">
        <v>1125080526</v>
      </c>
      <c r="F174" s="18" t="s">
        <v>15</v>
      </c>
      <c r="G174" s="18" t="s">
        <v>16</v>
      </c>
      <c r="H174" s="18" t="s">
        <v>20</v>
      </c>
      <c r="I174" s="19" t="s">
        <v>18</v>
      </c>
      <c r="J174" s="19">
        <v>2929</v>
      </c>
      <c r="K174" s="20">
        <v>5.13</v>
      </c>
      <c r="L174" s="21"/>
    </row>
    <row r="175" spans="1:12" x14ac:dyDescent="0.3">
      <c r="A175" s="14" t="s">
        <v>14</v>
      </c>
      <c r="B175" s="15">
        <v>2200032902</v>
      </c>
      <c r="C175" s="16">
        <v>45943</v>
      </c>
      <c r="D175" s="17">
        <v>5</v>
      </c>
      <c r="E175" s="15">
        <v>1125080527</v>
      </c>
      <c r="F175" s="18" t="s">
        <v>15</v>
      </c>
      <c r="G175" s="18" t="s">
        <v>16</v>
      </c>
      <c r="H175" s="18" t="s">
        <v>20</v>
      </c>
      <c r="I175" s="19" t="s">
        <v>18</v>
      </c>
      <c r="J175" s="19">
        <v>2929</v>
      </c>
      <c r="K175" s="20">
        <v>5.13</v>
      </c>
      <c r="L175" s="21"/>
    </row>
    <row r="176" spans="1:12" x14ac:dyDescent="0.3">
      <c r="A176" s="14" t="s">
        <v>14</v>
      </c>
      <c r="B176" s="15">
        <v>2200032902</v>
      </c>
      <c r="C176" s="16">
        <v>45943</v>
      </c>
      <c r="D176" s="17">
        <v>5</v>
      </c>
      <c r="E176" s="15">
        <v>1125080528</v>
      </c>
      <c r="F176" s="18" t="s">
        <v>15</v>
      </c>
      <c r="G176" s="18" t="s">
        <v>16</v>
      </c>
      <c r="H176" s="18" t="s">
        <v>20</v>
      </c>
      <c r="I176" s="19" t="s">
        <v>18</v>
      </c>
      <c r="J176" s="19">
        <v>2929</v>
      </c>
      <c r="K176" s="20">
        <v>5.13</v>
      </c>
      <c r="L176" s="21"/>
    </row>
    <row r="177" spans="1:12" x14ac:dyDescent="0.3">
      <c r="A177" s="14" t="s">
        <v>14</v>
      </c>
      <c r="B177" s="15">
        <v>2200032902</v>
      </c>
      <c r="C177" s="16">
        <v>45943</v>
      </c>
      <c r="D177" s="17">
        <v>5</v>
      </c>
      <c r="E177" s="15">
        <v>1125080530</v>
      </c>
      <c r="F177" s="18" t="s">
        <v>15</v>
      </c>
      <c r="G177" s="18" t="s">
        <v>16</v>
      </c>
      <c r="H177" s="18" t="s">
        <v>20</v>
      </c>
      <c r="I177" s="19" t="s">
        <v>18</v>
      </c>
      <c r="J177" s="19">
        <v>2929</v>
      </c>
      <c r="K177" s="20">
        <v>5.13</v>
      </c>
      <c r="L177" s="21"/>
    </row>
    <row r="178" spans="1:12" x14ac:dyDescent="0.3">
      <c r="A178" s="14" t="s">
        <v>14</v>
      </c>
      <c r="B178" s="15">
        <v>2200032902</v>
      </c>
      <c r="C178" s="16">
        <v>45943</v>
      </c>
      <c r="D178" s="17">
        <v>5</v>
      </c>
      <c r="E178" s="15">
        <v>1125080534</v>
      </c>
      <c r="F178" s="18" t="s">
        <v>15</v>
      </c>
      <c r="G178" s="18" t="s">
        <v>16</v>
      </c>
      <c r="H178" s="18" t="s">
        <v>20</v>
      </c>
      <c r="I178" s="19" t="s">
        <v>18</v>
      </c>
      <c r="J178" s="19">
        <v>2929</v>
      </c>
      <c r="K178" s="20">
        <v>5.13</v>
      </c>
      <c r="L178" s="21"/>
    </row>
    <row r="179" spans="1:12" x14ac:dyDescent="0.3">
      <c r="A179" s="14" t="s">
        <v>23</v>
      </c>
      <c r="B179" s="15">
        <v>2200032902</v>
      </c>
      <c r="C179" s="16">
        <v>45943</v>
      </c>
      <c r="D179" s="17">
        <v>1E-3</v>
      </c>
      <c r="E179" s="15">
        <v>1125080526</v>
      </c>
      <c r="F179" s="18" t="s">
        <v>15</v>
      </c>
      <c r="G179" s="18" t="s">
        <v>16</v>
      </c>
      <c r="H179" s="18" t="s">
        <v>20</v>
      </c>
      <c r="I179" s="19" t="s">
        <v>18</v>
      </c>
      <c r="J179" s="19">
        <v>2929</v>
      </c>
      <c r="K179" s="20">
        <v>1.25E-3</v>
      </c>
      <c r="L179" s="21"/>
    </row>
    <row r="180" spans="1:12" x14ac:dyDescent="0.3">
      <c r="A180" s="14" t="s">
        <v>23</v>
      </c>
      <c r="B180" s="15">
        <v>2200032902</v>
      </c>
      <c r="C180" s="16">
        <v>45943</v>
      </c>
      <c r="D180" s="17">
        <v>1E-3</v>
      </c>
      <c r="E180" s="15">
        <v>1125080527</v>
      </c>
      <c r="F180" s="18" t="s">
        <v>15</v>
      </c>
      <c r="G180" s="18" t="s">
        <v>16</v>
      </c>
      <c r="H180" s="18" t="s">
        <v>20</v>
      </c>
      <c r="I180" s="19" t="s">
        <v>18</v>
      </c>
      <c r="J180" s="19">
        <v>2929</v>
      </c>
      <c r="K180" s="20">
        <v>1.25E-3</v>
      </c>
      <c r="L180" s="21"/>
    </row>
    <row r="181" spans="1:12" x14ac:dyDescent="0.3">
      <c r="A181" s="14" t="s">
        <v>23</v>
      </c>
      <c r="B181" s="15">
        <v>2200032902</v>
      </c>
      <c r="C181" s="16">
        <v>45943</v>
      </c>
      <c r="D181" s="17">
        <v>1E-3</v>
      </c>
      <c r="E181" s="15">
        <v>1125080528</v>
      </c>
      <c r="F181" s="18" t="s">
        <v>15</v>
      </c>
      <c r="G181" s="18" t="s">
        <v>16</v>
      </c>
      <c r="H181" s="18" t="s">
        <v>20</v>
      </c>
      <c r="I181" s="19" t="s">
        <v>18</v>
      </c>
      <c r="J181" s="19">
        <v>2929</v>
      </c>
      <c r="K181" s="20">
        <v>1.25E-3</v>
      </c>
      <c r="L181" s="21"/>
    </row>
    <row r="182" spans="1:12" x14ac:dyDescent="0.3">
      <c r="A182" s="14" t="s">
        <v>23</v>
      </c>
      <c r="B182" s="15">
        <v>2200032902</v>
      </c>
      <c r="C182" s="16">
        <v>45943</v>
      </c>
      <c r="D182" s="17">
        <v>1E-3</v>
      </c>
      <c r="E182" s="15">
        <v>1125080530</v>
      </c>
      <c r="F182" s="18" t="s">
        <v>15</v>
      </c>
      <c r="G182" s="18" t="s">
        <v>16</v>
      </c>
      <c r="H182" s="18" t="s">
        <v>20</v>
      </c>
      <c r="I182" s="19" t="s">
        <v>18</v>
      </c>
      <c r="J182" s="19">
        <v>2929</v>
      </c>
      <c r="K182" s="20">
        <v>1.25E-3</v>
      </c>
      <c r="L182" s="21"/>
    </row>
    <row r="183" spans="1:12" x14ac:dyDescent="0.3">
      <c r="A183" s="14" t="s">
        <v>23</v>
      </c>
      <c r="B183" s="15">
        <v>2200032902</v>
      </c>
      <c r="C183" s="16">
        <v>45943</v>
      </c>
      <c r="D183" s="17">
        <v>1E-3</v>
      </c>
      <c r="E183" s="15">
        <v>1125080534</v>
      </c>
      <c r="F183" s="18" t="s">
        <v>15</v>
      </c>
      <c r="G183" s="18" t="s">
        <v>16</v>
      </c>
      <c r="H183" s="18" t="s">
        <v>20</v>
      </c>
      <c r="I183" s="19" t="s">
        <v>18</v>
      </c>
      <c r="J183" s="19">
        <v>2929</v>
      </c>
      <c r="K183" s="20">
        <v>1.25E-3</v>
      </c>
      <c r="L183" s="21"/>
    </row>
    <row r="184" spans="1:12" x14ac:dyDescent="0.3">
      <c r="D184" s="32">
        <f>SUM(D4:D183)</f>
        <v>450.08999999999889</v>
      </c>
    </row>
  </sheetData>
  <mergeCells count="1">
    <mergeCell ref="A1:K1"/>
  </mergeCells>
  <phoneticPr fontId="2" type="noConversion"/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Kidong Nam</dc:creator>
  <cp:lastModifiedBy>Kidong Nam</cp:lastModifiedBy>
  <dcterms:created xsi:type="dcterms:W3CDTF">2026-02-08T12:21:37Z</dcterms:created>
  <dcterms:modified xsi:type="dcterms:W3CDTF">2026-02-08T12:22:23Z</dcterms:modified>
</cp:coreProperties>
</file>