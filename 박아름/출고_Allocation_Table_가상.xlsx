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  <sheet xmlns:r="http://schemas.openxmlformats.org/officeDocument/2006/relationships" name="재고 유지 (20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sz val="10"/>
    </font>
    <font>
      <color rgb="000066CC"/>
      <sz val="10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DEBD0"/>
        <bgColor rgb="00FDEBD0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28" customWidth="1" min="9" max="9"/>
    <col width="14" customWidth="1" min="10" max="10"/>
    <col width="12" customWidth="1" min="11" max="11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Allocation - 20 LOTs (가상 60/20/20)</t>
        </is>
      </c>
    </row>
    <row r="2">
      <c r="C2" s="2" t="inlineStr">
        <is>
          <t>합계 QTY</t>
        </is>
      </c>
      <c r="D2" s="3">
        <f>SUM(D4:D35)</f>
        <v/>
      </c>
      <c r="J2" s="2" t="inlineStr">
        <is>
          <t>합계 GW</t>
        </is>
      </c>
      <c r="K2" s="3">
        <f>SUM(K4:K35)</f>
        <v/>
      </c>
    </row>
    <row r="3">
      <c r="A3" s="4" t="inlineStr">
        <is>
          <t>Product</t>
        </is>
      </c>
      <c r="B3" s="4" t="inlineStr">
        <is>
          <t>SAP NO</t>
        </is>
      </c>
      <c r="C3" s="4" t="inlineStr">
        <is>
          <t>Date in stock</t>
        </is>
      </c>
      <c r="D3" s="4" t="inlineStr">
        <is>
          <t>QTY (MT)</t>
        </is>
      </c>
      <c r="E3" s="4" t="inlineStr">
        <is>
          <t>Lot No</t>
        </is>
      </c>
      <c r="F3" s="4" t="inlineStr">
        <is>
          <t>WH</t>
        </is>
      </c>
      <c r="G3" s="4" t="inlineStr">
        <is>
          <t>Customs</t>
        </is>
      </c>
      <c r="H3" s="4" t="inlineStr">
        <is>
          <t>Export</t>
        </is>
      </c>
      <c r="I3" s="4" t="inlineStr">
        <is>
          <t>SOLD TO</t>
        </is>
      </c>
      <c r="J3" s="4" t="inlineStr">
        <is>
          <t>SALE REF</t>
        </is>
      </c>
      <c r="K3" s="4" t="inlineStr">
        <is>
          <t>GW</t>
        </is>
      </c>
      <c r="N3" s="4" t="inlineStr">
        <is>
          <t>Export</t>
        </is>
      </c>
      <c r="O3" s="4" t="inlineStr">
        <is>
          <t>LOTs</t>
        </is>
      </c>
      <c r="P3" s="4" t="inlineStr">
        <is>
          <t>합계 QTY(MT)</t>
        </is>
      </c>
      <c r="Q3" s="4" t="inlineStr">
        <is>
          <t>합계 GW</t>
        </is>
      </c>
    </row>
    <row r="4">
      <c r="A4" s="5" t="inlineStr">
        <is>
          <t>LITHIUM CARBONATE</t>
        </is>
      </c>
      <c r="B4" s="5" t="inlineStr">
        <is>
          <t>2200033057</t>
        </is>
      </c>
      <c r="C4" s="5" t="inlineStr">
        <is>
          <t>2025-10-17</t>
        </is>
      </c>
      <c r="D4" s="6" t="n">
        <v>5.001</v>
      </c>
      <c r="E4" s="5" t="inlineStr">
        <is>
          <t>1125081223</t>
        </is>
      </c>
      <c r="F4" s="5" t="inlineStr">
        <is>
          <t>GY</t>
        </is>
      </c>
      <c r="G4" s="5" t="inlineStr">
        <is>
          <t>Cleared</t>
        </is>
      </c>
      <c r="H4" s="5" t="inlineStr">
        <is>
          <t>분할/반송</t>
        </is>
      </c>
      <c r="I4" s="5" t="inlineStr">
        <is>
          <t>CATL</t>
        </is>
      </c>
      <c r="J4" s="5" t="inlineStr">
        <is>
          <t>2926</t>
        </is>
      </c>
      <c r="K4" s="6" t="n">
        <v>5.131026</v>
      </c>
      <c r="N4" s="7" t="inlineStr">
        <is>
          <t>분할/반송 (출고)</t>
        </is>
      </c>
      <c r="O4" s="7" t="inlineStr">
        <is>
          <t>12</t>
        </is>
      </c>
      <c r="P4" s="8" t="n">
        <v>60.02399999999997</v>
      </c>
      <c r="Q4" s="8" t="n">
        <v>61.58731199999998</v>
      </c>
    </row>
    <row r="5">
      <c r="A5" s="5" t="inlineStr">
        <is>
          <t>LITHIUM CARBONATE</t>
        </is>
      </c>
      <c r="B5" s="5" t="inlineStr">
        <is>
          <t>2200033057</t>
        </is>
      </c>
      <c r="C5" s="5" t="inlineStr">
        <is>
          <t>2025-10-17</t>
        </is>
      </c>
      <c r="D5" s="6" t="n">
        <v>5.001</v>
      </c>
      <c r="E5" s="5" t="inlineStr">
        <is>
          <t>1125081224</t>
        </is>
      </c>
      <c r="F5" s="5" t="inlineStr">
        <is>
          <t>GY</t>
        </is>
      </c>
      <c r="G5" s="5" t="inlineStr">
        <is>
          <t>Cleared</t>
        </is>
      </c>
      <c r="H5" s="5" t="inlineStr">
        <is>
          <t>분할/반송</t>
        </is>
      </c>
      <c r="I5" s="5" t="inlineStr">
        <is>
          <t>CATL</t>
        </is>
      </c>
      <c r="J5" s="5" t="inlineStr">
        <is>
          <t>2954</t>
        </is>
      </c>
      <c r="K5" s="6" t="n">
        <v>5.131026</v>
      </c>
      <c r="N5" s="7" t="inlineStr">
        <is>
          <t>반송 (반품)</t>
        </is>
      </c>
      <c r="O5" s="7" t="inlineStr">
        <is>
          <t>4</t>
        </is>
      </c>
      <c r="P5" s="8" t="n">
        <v>20.00800000000001</v>
      </c>
      <c r="Q5" s="8" t="n">
        <v>20.529104</v>
      </c>
    </row>
    <row r="6">
      <c r="A6" s="5" t="inlineStr">
        <is>
          <t>LITHIUM CARBONATE</t>
        </is>
      </c>
      <c r="B6" s="5" t="inlineStr">
        <is>
          <t>2200033057</t>
        </is>
      </c>
      <c r="C6" s="5" t="inlineStr">
        <is>
          <t>2025-10-17</t>
        </is>
      </c>
      <c r="D6" s="6" t="n">
        <v>5.001</v>
      </c>
      <c r="E6" s="5" t="inlineStr">
        <is>
          <t>1125081314</t>
        </is>
      </c>
      <c r="F6" s="5" t="inlineStr">
        <is>
          <t>GY</t>
        </is>
      </c>
      <c r="G6" s="5" t="inlineStr">
        <is>
          <t>Cleared</t>
        </is>
      </c>
      <c r="H6" s="5" t="inlineStr">
        <is>
          <t>분할/반송</t>
        </is>
      </c>
      <c r="I6" s="5" t="inlineStr">
        <is>
          <t>PT ABC - Q1 2026</t>
        </is>
      </c>
      <c r="J6" s="5" t="inlineStr">
        <is>
          <t>2958</t>
        </is>
      </c>
      <c r="K6" s="6" t="n">
        <v>5.131026</v>
      </c>
      <c r="N6" s="7" t="inlineStr">
        <is>
          <t>재고 유지</t>
        </is>
      </c>
      <c r="O6" s="7" t="inlineStr">
        <is>
          <t>4</t>
        </is>
      </c>
      <c r="P6" s="8" t="n">
        <v>20.004</v>
      </c>
      <c r="Q6" s="8" t="n">
        <v>20.524104</v>
      </c>
    </row>
    <row r="7">
      <c r="A7" s="5" t="inlineStr">
        <is>
          <t>LITHIUM CARBONATE</t>
        </is>
      </c>
      <c r="B7" s="5" t="inlineStr">
        <is>
          <t>2200033057</t>
        </is>
      </c>
      <c r="C7" s="5" t="inlineStr">
        <is>
          <t>2025-10-17</t>
        </is>
      </c>
      <c r="D7" s="6" t="n">
        <v>5.001</v>
      </c>
      <c r="E7" s="5" t="inlineStr">
        <is>
          <t>1125081326</t>
        </is>
      </c>
      <c r="F7" s="5" t="inlineStr">
        <is>
          <t>GY</t>
        </is>
      </c>
      <c r="G7" s="5" t="inlineStr">
        <is>
          <t>Cleared</t>
        </is>
      </c>
      <c r="H7" s="5" t="inlineStr">
        <is>
          <t>분할/반송</t>
        </is>
      </c>
      <c r="I7" s="5" t="inlineStr">
        <is>
          <t>CATL</t>
        </is>
      </c>
      <c r="J7" s="5" t="inlineStr">
        <is>
          <t>2936</t>
        </is>
      </c>
      <c r="K7" s="6" t="n">
        <v>5.131026</v>
      </c>
      <c r="N7" s="9" t="inlineStr">
        <is>
          <t>총합계</t>
        </is>
      </c>
      <c r="O7" s="9" t="inlineStr">
        <is>
          <t>20</t>
        </is>
      </c>
      <c r="P7" s="10" t="n">
        <v>100.036</v>
      </c>
      <c r="Q7" s="10" t="n">
        <v>102.64052</v>
      </c>
    </row>
    <row r="8">
      <c r="A8" s="5" t="inlineStr">
        <is>
          <t>LITHIUM CARBONATE</t>
        </is>
      </c>
      <c r="B8" s="5" t="inlineStr">
        <is>
          <t>2200033057</t>
        </is>
      </c>
      <c r="C8" s="5" t="inlineStr">
        <is>
          <t>2025-10-17</t>
        </is>
      </c>
      <c r="D8" s="6" t="n">
        <v>5.001</v>
      </c>
      <c r="E8" s="5" t="inlineStr">
        <is>
          <t>1125081327</t>
        </is>
      </c>
      <c r="F8" s="5" t="inlineStr">
        <is>
          <t>GY</t>
        </is>
      </c>
      <c r="G8" s="5" t="inlineStr">
        <is>
          <t>Cleared</t>
        </is>
      </c>
      <c r="H8" s="5" t="inlineStr">
        <is>
          <t>분할/반송</t>
        </is>
      </c>
      <c r="I8" s="5" t="inlineStr">
        <is>
          <t>LBM AP - Q4 2025</t>
        </is>
      </c>
      <c r="J8" s="5" t="inlineStr">
        <is>
          <t>2998</t>
        </is>
      </c>
      <c r="K8" s="6" t="n">
        <v>5.131026</v>
      </c>
    </row>
    <row r="9">
      <c r="A9" s="5" t="inlineStr">
        <is>
          <t>LITHIUM CARBONATE</t>
        </is>
      </c>
      <c r="B9" s="5" t="inlineStr">
        <is>
          <t>2200033057</t>
        </is>
      </c>
      <c r="C9" s="5" t="inlineStr">
        <is>
          <t>2025-10-17</t>
        </is>
      </c>
      <c r="D9" s="6" t="n">
        <v>5.001</v>
      </c>
      <c r="E9" s="5" t="inlineStr">
        <is>
          <t>1125081446</t>
        </is>
      </c>
      <c r="F9" s="5" t="inlineStr">
        <is>
          <t>GY</t>
        </is>
      </c>
      <c r="G9" s="5" t="inlineStr">
        <is>
          <t>Cleared</t>
        </is>
      </c>
      <c r="H9" s="5" t="inlineStr">
        <is>
          <t>분할/반송</t>
        </is>
      </c>
      <c r="I9" s="5" t="inlineStr">
        <is>
          <t>PT ABC - Q1 2026</t>
        </is>
      </c>
      <c r="J9" s="5" t="inlineStr">
        <is>
          <t>2990</t>
        </is>
      </c>
      <c r="K9" s="6" t="n">
        <v>5.131026</v>
      </c>
    </row>
    <row r="10">
      <c r="A10" s="5" t="inlineStr">
        <is>
          <t>LITHIUM CARBONATE</t>
        </is>
      </c>
      <c r="B10" s="5" t="inlineStr">
        <is>
          <t>2200033057</t>
        </is>
      </c>
      <c r="C10" s="5" t="inlineStr">
        <is>
          <t>2025-10-17</t>
        </is>
      </c>
      <c r="D10" s="6" t="n">
        <v>5.001</v>
      </c>
      <c r="E10" s="5" t="inlineStr">
        <is>
          <t>1125081447</t>
        </is>
      </c>
      <c r="F10" s="5" t="inlineStr">
        <is>
          <t>GY</t>
        </is>
      </c>
      <c r="G10" s="5" t="inlineStr">
        <is>
          <t>Cleared</t>
        </is>
      </c>
      <c r="H10" s="5" t="inlineStr">
        <is>
          <t>분할/반송</t>
        </is>
      </c>
      <c r="I10" s="5" t="inlineStr">
        <is>
          <t>LG Energy</t>
        </is>
      </c>
      <c r="J10" s="5" t="inlineStr">
        <is>
          <t>2944</t>
        </is>
      </c>
      <c r="K10" s="6" t="n">
        <v>5.131026</v>
      </c>
    </row>
    <row r="11">
      <c r="A11" s="5" t="inlineStr">
        <is>
          <t>LITHIUM CARBONATE</t>
        </is>
      </c>
      <c r="B11" s="5" t="inlineStr">
        <is>
          <t>2200033057</t>
        </is>
      </c>
      <c r="C11" s="5" t="inlineStr">
        <is>
          <t>2025-10-17</t>
        </is>
      </c>
      <c r="D11" s="6" t="n">
        <v>5.001</v>
      </c>
      <c r="E11" s="5" t="inlineStr">
        <is>
          <t>1125081448</t>
        </is>
      </c>
      <c r="F11" s="5" t="inlineStr">
        <is>
          <t>GY</t>
        </is>
      </c>
      <c r="G11" s="5" t="inlineStr">
        <is>
          <t>Cleared</t>
        </is>
      </c>
      <c r="H11" s="5" t="inlineStr">
        <is>
          <t>분할/반송</t>
        </is>
      </c>
      <c r="I11" s="5" t="inlineStr">
        <is>
          <t>Samsung SDI</t>
        </is>
      </c>
      <c r="J11" s="5" t="inlineStr">
        <is>
          <t>2920</t>
        </is>
      </c>
      <c r="K11" s="6" t="n">
        <v>5.131026</v>
      </c>
    </row>
    <row r="12">
      <c r="A12" s="5" t="inlineStr">
        <is>
          <t>LITHIUM CARBONATE</t>
        </is>
      </c>
      <c r="B12" s="5" t="inlineStr">
        <is>
          <t>2200033057</t>
        </is>
      </c>
      <c r="C12" s="5" t="inlineStr">
        <is>
          <t>2025-10-17</t>
        </is>
      </c>
      <c r="D12" s="6" t="n">
        <v>5.001</v>
      </c>
      <c r="E12" s="5" t="inlineStr">
        <is>
          <t>1125081449</t>
        </is>
      </c>
      <c r="F12" s="5" t="inlineStr">
        <is>
          <t>GY</t>
        </is>
      </c>
      <c r="G12" s="5" t="inlineStr">
        <is>
          <t>Cleared</t>
        </is>
      </c>
      <c r="H12" s="5" t="inlineStr">
        <is>
          <t>분할/반송</t>
        </is>
      </c>
      <c r="I12" s="5" t="inlineStr">
        <is>
          <t>PT ABC - Q1 2026</t>
        </is>
      </c>
      <c r="J12" s="5" t="inlineStr">
        <is>
          <t>2998</t>
        </is>
      </c>
      <c r="K12" s="6" t="n">
        <v>5.131026</v>
      </c>
    </row>
    <row r="13">
      <c r="A13" s="5" t="inlineStr">
        <is>
          <t>LITHIUM CARBONATE</t>
        </is>
      </c>
      <c r="B13" s="5" t="inlineStr">
        <is>
          <t>2200033057</t>
        </is>
      </c>
      <c r="C13" s="5" t="inlineStr">
        <is>
          <t>2025-10-17</t>
        </is>
      </c>
      <c r="D13" s="6" t="n">
        <v>5.001</v>
      </c>
      <c r="E13" s="5" t="inlineStr">
        <is>
          <t>1125082328</t>
        </is>
      </c>
      <c r="F13" s="5" t="inlineStr">
        <is>
          <t>GY</t>
        </is>
      </c>
      <c r="G13" s="5" t="inlineStr">
        <is>
          <t>Cleared</t>
        </is>
      </c>
      <c r="H13" s="5" t="inlineStr">
        <is>
          <t>분할/반송</t>
        </is>
      </c>
      <c r="I13" s="5" t="inlineStr">
        <is>
          <t>Samsung SDI</t>
        </is>
      </c>
      <c r="J13" s="5" t="inlineStr">
        <is>
          <t>2914</t>
        </is>
      </c>
      <c r="K13" s="6" t="n">
        <v>5.131026</v>
      </c>
    </row>
    <row r="14">
      <c r="A14" s="5" t="inlineStr">
        <is>
          <t>LITHIUM CARBONATE</t>
        </is>
      </c>
      <c r="B14" s="5" t="inlineStr">
        <is>
          <t>2200033057</t>
        </is>
      </c>
      <c r="C14" s="5" t="inlineStr">
        <is>
          <t>2025-10-17</t>
        </is>
      </c>
      <c r="D14" s="6" t="n">
        <v>5.001</v>
      </c>
      <c r="E14" s="5" t="inlineStr">
        <is>
          <t>1125082329</t>
        </is>
      </c>
      <c r="F14" s="5" t="inlineStr">
        <is>
          <t>GY</t>
        </is>
      </c>
      <c r="G14" s="5" t="inlineStr">
        <is>
          <t>Cleared</t>
        </is>
      </c>
      <c r="H14" s="5" t="inlineStr">
        <is>
          <t>분할/반송</t>
        </is>
      </c>
      <c r="I14" s="5" t="inlineStr">
        <is>
          <t>LBM AP - Q4 2025</t>
        </is>
      </c>
      <c r="J14" s="5" t="inlineStr">
        <is>
          <t>2949</t>
        </is>
      </c>
      <c r="K14" s="6" t="n">
        <v>5.131026</v>
      </c>
    </row>
    <row r="15">
      <c r="A15" s="5" t="inlineStr">
        <is>
          <t>LITHIUM CARBONATE</t>
        </is>
      </c>
      <c r="B15" s="5" t="inlineStr">
        <is>
          <t>2200033057</t>
        </is>
      </c>
      <c r="C15" s="5" t="inlineStr">
        <is>
          <t>2025-10-17</t>
        </is>
      </c>
      <c r="D15" s="6" t="n">
        <v>5.001</v>
      </c>
      <c r="E15" s="5" t="inlineStr">
        <is>
          <t>1125082330</t>
        </is>
      </c>
      <c r="F15" s="5" t="inlineStr">
        <is>
          <t>GY</t>
        </is>
      </c>
      <c r="G15" s="5" t="inlineStr">
        <is>
          <t>Cleared</t>
        </is>
      </c>
      <c r="H15" s="5" t="inlineStr">
        <is>
          <t>분할/반송</t>
        </is>
      </c>
      <c r="I15" s="5" t="inlineStr">
        <is>
          <t>LBM AP - Q4 2025</t>
        </is>
      </c>
      <c r="J15" s="5" t="inlineStr">
        <is>
          <t>2946</t>
        </is>
      </c>
      <c r="K15" s="6" t="n">
        <v>5.131026</v>
      </c>
    </row>
    <row r="16">
      <c r="A16" s="11" t="inlineStr">
        <is>
          <t>LITHIUM CARBONATE_sample</t>
        </is>
      </c>
      <c r="B16" s="11" t="inlineStr">
        <is>
          <t>2200033057</t>
        </is>
      </c>
      <c r="C16" s="11" t="inlineStr">
        <is>
          <t>2025-10-17</t>
        </is>
      </c>
      <c r="D16" s="12" t="n">
        <v>0.001</v>
      </c>
      <c r="E16" s="11" t="inlineStr">
        <is>
          <t>1125081223</t>
        </is>
      </c>
      <c r="F16" s="11" t="inlineStr">
        <is>
          <t>GY</t>
        </is>
      </c>
      <c r="G16" s="11" t="inlineStr">
        <is>
          <t>Cleared</t>
        </is>
      </c>
      <c r="H16" s="11" t="inlineStr">
        <is>
          <t>분할/반송</t>
        </is>
      </c>
      <c r="I16" s="11" t="inlineStr">
        <is>
          <t>Samsung SDI</t>
        </is>
      </c>
      <c r="J16" s="11" t="inlineStr"/>
      <c r="K16" s="12" t="n">
        <v>0.00125</v>
      </c>
    </row>
    <row r="17">
      <c r="A17" s="11" t="inlineStr">
        <is>
          <t>LITHIUM CARBONATE_sample</t>
        </is>
      </c>
      <c r="B17" s="11" t="inlineStr">
        <is>
          <t>2200033057</t>
        </is>
      </c>
      <c r="C17" s="11" t="inlineStr">
        <is>
          <t>2025-10-17</t>
        </is>
      </c>
      <c r="D17" s="12" t="n">
        <v>0.001</v>
      </c>
      <c r="E17" s="11" t="inlineStr">
        <is>
          <t>1125081224</t>
        </is>
      </c>
      <c r="F17" s="11" t="inlineStr">
        <is>
          <t>GY</t>
        </is>
      </c>
      <c r="G17" s="11" t="inlineStr">
        <is>
          <t>Cleared</t>
        </is>
      </c>
      <c r="H17" s="11" t="inlineStr">
        <is>
          <t>분할/반송</t>
        </is>
      </c>
      <c r="I17" s="11" t="inlineStr">
        <is>
          <t>CATL</t>
        </is>
      </c>
      <c r="J17" s="11" t="inlineStr"/>
      <c r="K17" s="12" t="n">
        <v>0.00125</v>
      </c>
    </row>
    <row r="18">
      <c r="A18" s="11" t="inlineStr">
        <is>
          <t>LITHIUM CARBONATE_sample</t>
        </is>
      </c>
      <c r="B18" s="11" t="inlineStr">
        <is>
          <t>2200033057</t>
        </is>
      </c>
      <c r="C18" s="11" t="inlineStr">
        <is>
          <t>2025-10-17</t>
        </is>
      </c>
      <c r="D18" s="12" t="n">
        <v>0.001</v>
      </c>
      <c r="E18" s="11" t="inlineStr">
        <is>
          <t>1125081314</t>
        </is>
      </c>
      <c r="F18" s="11" t="inlineStr">
        <is>
          <t>GY</t>
        </is>
      </c>
      <c r="G18" s="11" t="inlineStr">
        <is>
          <t>Cleared</t>
        </is>
      </c>
      <c r="H18" s="11" t="inlineStr">
        <is>
          <t>분할/반송</t>
        </is>
      </c>
      <c r="I18" s="11" t="inlineStr">
        <is>
          <t>Samsung SDI</t>
        </is>
      </c>
      <c r="J18" s="11" t="inlineStr"/>
      <c r="K18" s="12" t="n">
        <v>0.00125</v>
      </c>
    </row>
    <row r="19">
      <c r="A19" s="11" t="inlineStr">
        <is>
          <t>LITHIUM CARBONATE_sample</t>
        </is>
      </c>
      <c r="B19" s="11" t="inlineStr">
        <is>
          <t>2200033057</t>
        </is>
      </c>
      <c r="C19" s="11" t="inlineStr">
        <is>
          <t>2025-10-17</t>
        </is>
      </c>
      <c r="D19" s="12" t="n">
        <v>0.001</v>
      </c>
      <c r="E19" s="11" t="inlineStr">
        <is>
          <t>1125081326</t>
        </is>
      </c>
      <c r="F19" s="11" t="inlineStr">
        <is>
          <t>GY</t>
        </is>
      </c>
      <c r="G19" s="11" t="inlineStr">
        <is>
          <t>Cleared</t>
        </is>
      </c>
      <c r="H19" s="11" t="inlineStr">
        <is>
          <t>분할/반송</t>
        </is>
      </c>
      <c r="I19" s="11" t="inlineStr">
        <is>
          <t>LBM AP - Q4 2025</t>
        </is>
      </c>
      <c r="J19" s="11" t="inlineStr"/>
      <c r="K19" s="12" t="n">
        <v>0.00125</v>
      </c>
    </row>
    <row r="20">
      <c r="A20" s="11" t="inlineStr">
        <is>
          <t>LITHIUM CARBONATE_sample</t>
        </is>
      </c>
      <c r="B20" s="11" t="inlineStr">
        <is>
          <t>2200033057</t>
        </is>
      </c>
      <c r="C20" s="11" t="inlineStr">
        <is>
          <t>2025-10-17</t>
        </is>
      </c>
      <c r="D20" s="12" t="n">
        <v>0.001</v>
      </c>
      <c r="E20" s="11" t="inlineStr">
        <is>
          <t>1125081327</t>
        </is>
      </c>
      <c r="F20" s="11" t="inlineStr">
        <is>
          <t>GY</t>
        </is>
      </c>
      <c r="G20" s="11" t="inlineStr">
        <is>
          <t>Cleared</t>
        </is>
      </c>
      <c r="H20" s="11" t="inlineStr">
        <is>
          <t>분할/반송</t>
        </is>
      </c>
      <c r="I20" s="11" t="inlineStr">
        <is>
          <t>LG Energy</t>
        </is>
      </c>
      <c r="J20" s="11" t="inlineStr"/>
      <c r="K20" s="12" t="n">
        <v>0.00125</v>
      </c>
    </row>
    <row r="21">
      <c r="A21" s="11" t="inlineStr">
        <is>
          <t>LITHIUM CARBONATE_sample</t>
        </is>
      </c>
      <c r="B21" s="11" t="inlineStr">
        <is>
          <t>2200033057</t>
        </is>
      </c>
      <c r="C21" s="11" t="inlineStr">
        <is>
          <t>2025-10-17</t>
        </is>
      </c>
      <c r="D21" s="12" t="n">
        <v>0.001</v>
      </c>
      <c r="E21" s="11" t="inlineStr">
        <is>
          <t>1125081446</t>
        </is>
      </c>
      <c r="F21" s="11" t="inlineStr">
        <is>
          <t>GY</t>
        </is>
      </c>
      <c r="G21" s="11" t="inlineStr">
        <is>
          <t>Cleared</t>
        </is>
      </c>
      <c r="H21" s="11" t="inlineStr">
        <is>
          <t>분할/반송</t>
        </is>
      </c>
      <c r="I21" s="11" t="inlineStr">
        <is>
          <t>CATL</t>
        </is>
      </c>
      <c r="J21" s="11" t="inlineStr"/>
      <c r="K21" s="12" t="n">
        <v>0.00125</v>
      </c>
    </row>
    <row r="22">
      <c r="A22" s="11" t="inlineStr">
        <is>
          <t>LITHIUM CARBONATE_sample</t>
        </is>
      </c>
      <c r="B22" s="11" t="inlineStr">
        <is>
          <t>2200033057</t>
        </is>
      </c>
      <c r="C22" s="11" t="inlineStr">
        <is>
          <t>2025-10-17</t>
        </is>
      </c>
      <c r="D22" s="12" t="n">
        <v>0.001</v>
      </c>
      <c r="E22" s="11" t="inlineStr">
        <is>
          <t>1125081447</t>
        </is>
      </c>
      <c r="F22" s="11" t="inlineStr">
        <is>
          <t>GY</t>
        </is>
      </c>
      <c r="G22" s="11" t="inlineStr">
        <is>
          <t>Cleared</t>
        </is>
      </c>
      <c r="H22" s="11" t="inlineStr">
        <is>
          <t>분할/반송</t>
        </is>
      </c>
      <c r="I22" s="11" t="inlineStr">
        <is>
          <t>LBM AP - Q4 2025</t>
        </is>
      </c>
      <c r="J22" s="11" t="inlineStr"/>
      <c r="K22" s="12" t="n">
        <v>0.00125</v>
      </c>
    </row>
    <row r="23">
      <c r="A23" s="11" t="inlineStr">
        <is>
          <t>LITHIUM CARBONATE_sample</t>
        </is>
      </c>
      <c r="B23" s="11" t="inlineStr">
        <is>
          <t>2200033057</t>
        </is>
      </c>
      <c r="C23" s="11" t="inlineStr">
        <is>
          <t>2025-10-17</t>
        </is>
      </c>
      <c r="D23" s="12" t="n">
        <v>0.001</v>
      </c>
      <c r="E23" s="11" t="inlineStr">
        <is>
          <t>1125081448</t>
        </is>
      </c>
      <c r="F23" s="11" t="inlineStr">
        <is>
          <t>GY</t>
        </is>
      </c>
      <c r="G23" s="11" t="inlineStr">
        <is>
          <t>Cleared</t>
        </is>
      </c>
      <c r="H23" s="11" t="inlineStr">
        <is>
          <t>분할/반송</t>
        </is>
      </c>
      <c r="I23" s="11" t="inlineStr">
        <is>
          <t>LG Energy</t>
        </is>
      </c>
      <c r="J23" s="11" t="inlineStr"/>
      <c r="K23" s="12" t="n">
        <v>0.00125</v>
      </c>
    </row>
    <row r="24">
      <c r="A24" s="11" t="inlineStr">
        <is>
          <t>LITHIUM CARBONATE_sample</t>
        </is>
      </c>
      <c r="B24" s="11" t="inlineStr">
        <is>
          <t>2200033057</t>
        </is>
      </c>
      <c r="C24" s="11" t="inlineStr">
        <is>
          <t>2025-10-17</t>
        </is>
      </c>
      <c r="D24" s="12" t="n">
        <v>0.001</v>
      </c>
      <c r="E24" s="11" t="inlineStr">
        <is>
          <t>1125081449</t>
        </is>
      </c>
      <c r="F24" s="11" t="inlineStr">
        <is>
          <t>GY</t>
        </is>
      </c>
      <c r="G24" s="11" t="inlineStr">
        <is>
          <t>Cleared</t>
        </is>
      </c>
      <c r="H24" s="11" t="inlineStr">
        <is>
          <t>분할/반송</t>
        </is>
      </c>
      <c r="I24" s="11" t="inlineStr">
        <is>
          <t>LBM AP - Q4 2025</t>
        </is>
      </c>
      <c r="J24" s="11" t="inlineStr"/>
      <c r="K24" s="12" t="n">
        <v>0.00125</v>
      </c>
    </row>
    <row r="25">
      <c r="A25" s="11" t="inlineStr">
        <is>
          <t>LITHIUM CARBONATE_sample</t>
        </is>
      </c>
      <c r="B25" s="11" t="inlineStr">
        <is>
          <t>2200033057</t>
        </is>
      </c>
      <c r="C25" s="11" t="inlineStr">
        <is>
          <t>2025-10-17</t>
        </is>
      </c>
      <c r="D25" s="12" t="n">
        <v>0.001</v>
      </c>
      <c r="E25" s="11" t="inlineStr">
        <is>
          <t>1125082328</t>
        </is>
      </c>
      <c r="F25" s="11" t="inlineStr">
        <is>
          <t>GY</t>
        </is>
      </c>
      <c r="G25" s="11" t="inlineStr">
        <is>
          <t>Cleared</t>
        </is>
      </c>
      <c r="H25" s="11" t="inlineStr">
        <is>
          <t>분할/반송</t>
        </is>
      </c>
      <c r="I25" s="11" t="inlineStr">
        <is>
          <t>CATL</t>
        </is>
      </c>
      <c r="J25" s="11" t="inlineStr"/>
      <c r="K25" s="12" t="n">
        <v>0.00125</v>
      </c>
    </row>
    <row r="26">
      <c r="A26" s="11" t="inlineStr">
        <is>
          <t>LITHIUM CARBONATE_sample</t>
        </is>
      </c>
      <c r="B26" s="11" t="inlineStr">
        <is>
          <t>2200033057</t>
        </is>
      </c>
      <c r="C26" s="11" t="inlineStr">
        <is>
          <t>2025-10-17</t>
        </is>
      </c>
      <c r="D26" s="12" t="n">
        <v>0.001</v>
      </c>
      <c r="E26" s="11" t="inlineStr">
        <is>
          <t>1125082329</t>
        </is>
      </c>
      <c r="F26" s="11" t="inlineStr">
        <is>
          <t>GY</t>
        </is>
      </c>
      <c r="G26" s="11" t="inlineStr">
        <is>
          <t>Cleared</t>
        </is>
      </c>
      <c r="H26" s="11" t="inlineStr">
        <is>
          <t>분할/반송</t>
        </is>
      </c>
      <c r="I26" s="11" t="inlineStr">
        <is>
          <t>Samsung SDI</t>
        </is>
      </c>
      <c r="J26" s="11" t="inlineStr"/>
      <c r="K26" s="12" t="n">
        <v>0.00125</v>
      </c>
    </row>
    <row r="27">
      <c r="A27" s="11" t="inlineStr">
        <is>
          <t>LITHIUM CARBONATE_sample</t>
        </is>
      </c>
      <c r="B27" s="11" t="inlineStr">
        <is>
          <t>2200033057</t>
        </is>
      </c>
      <c r="C27" s="11" t="inlineStr">
        <is>
          <t>2025-10-17</t>
        </is>
      </c>
      <c r="D27" s="12" t="n">
        <v>0.001</v>
      </c>
      <c r="E27" s="11" t="inlineStr">
        <is>
          <t>1125082330</t>
        </is>
      </c>
      <c r="F27" s="11" t="inlineStr">
        <is>
          <t>GY</t>
        </is>
      </c>
      <c r="G27" s="11" t="inlineStr">
        <is>
          <t>Cleared</t>
        </is>
      </c>
      <c r="H27" s="11" t="inlineStr">
        <is>
          <t>분할/반송</t>
        </is>
      </c>
      <c r="I27" s="11" t="inlineStr">
        <is>
          <t>CATL</t>
        </is>
      </c>
      <c r="J27" s="11" t="inlineStr"/>
      <c r="K27" s="12" t="n">
        <v>0.00125</v>
      </c>
    </row>
    <row r="28">
      <c r="A28" s="13" t="inlineStr">
        <is>
          <t>LITHIUM CARBONATE</t>
        </is>
      </c>
      <c r="B28" s="13" t="inlineStr">
        <is>
          <t>2200033057</t>
        </is>
      </c>
      <c r="C28" s="13" t="inlineStr">
        <is>
          <t>2025-10-17</t>
        </is>
      </c>
      <c r="D28" s="14" t="n">
        <v>5.001</v>
      </c>
      <c r="E28" s="13" t="inlineStr">
        <is>
          <t>1125072730</t>
        </is>
      </c>
      <c r="F28" s="13" t="inlineStr">
        <is>
          <t>GY</t>
        </is>
      </c>
      <c r="G28" s="13" t="inlineStr">
        <is>
          <t>Uncleared</t>
        </is>
      </c>
      <c r="H28" s="13" t="inlineStr">
        <is>
          <t>반송</t>
        </is>
      </c>
      <c r="I28" s="13" t="inlineStr">
        <is>
          <t>RETURN - 반품</t>
        </is>
      </c>
      <c r="J28" s="13" t="inlineStr"/>
      <c r="K28" s="14" t="n">
        <v>5.131026</v>
      </c>
    </row>
    <row r="29">
      <c r="A29" s="13" t="inlineStr">
        <is>
          <t>LITHIUM CARBONATE</t>
        </is>
      </c>
      <c r="B29" s="13" t="inlineStr">
        <is>
          <t>2200033057</t>
        </is>
      </c>
      <c r="C29" s="13" t="inlineStr">
        <is>
          <t>2025-10-17</t>
        </is>
      </c>
      <c r="D29" s="14" t="n">
        <v>5.001</v>
      </c>
      <c r="E29" s="13" t="inlineStr">
        <is>
          <t>1125081215</t>
        </is>
      </c>
      <c r="F29" s="13" t="inlineStr">
        <is>
          <t>GY</t>
        </is>
      </c>
      <c r="G29" s="13" t="inlineStr">
        <is>
          <t>Uncleared</t>
        </is>
      </c>
      <c r="H29" s="13" t="inlineStr">
        <is>
          <t>반송</t>
        </is>
      </c>
      <c r="I29" s="13" t="inlineStr">
        <is>
          <t>RETURN - 반품</t>
        </is>
      </c>
      <c r="J29" s="13" t="inlineStr"/>
      <c r="K29" s="14" t="n">
        <v>5.131026</v>
      </c>
    </row>
    <row r="30">
      <c r="A30" s="13" t="inlineStr">
        <is>
          <t>LITHIUM CARBONATE</t>
        </is>
      </c>
      <c r="B30" s="13" t="inlineStr">
        <is>
          <t>2200033057</t>
        </is>
      </c>
      <c r="C30" s="13" t="inlineStr">
        <is>
          <t>2025-10-17</t>
        </is>
      </c>
      <c r="D30" s="14" t="n">
        <v>5.001</v>
      </c>
      <c r="E30" s="13" t="inlineStr">
        <is>
          <t>1125081347</t>
        </is>
      </c>
      <c r="F30" s="13" t="inlineStr">
        <is>
          <t>GY</t>
        </is>
      </c>
      <c r="G30" s="13" t="inlineStr">
        <is>
          <t>Uncleared</t>
        </is>
      </c>
      <c r="H30" s="13" t="inlineStr">
        <is>
          <t>반송</t>
        </is>
      </c>
      <c r="I30" s="13" t="inlineStr">
        <is>
          <t>RETURN - 반품</t>
        </is>
      </c>
      <c r="J30" s="13" t="inlineStr"/>
      <c r="K30" s="14" t="n">
        <v>5.131026</v>
      </c>
    </row>
    <row r="31">
      <c r="A31" s="13" t="inlineStr">
        <is>
          <t>LITHIUM CARBONATE</t>
        </is>
      </c>
      <c r="B31" s="13" t="inlineStr">
        <is>
          <t>2200033057</t>
        </is>
      </c>
      <c r="C31" s="13" t="inlineStr">
        <is>
          <t>2025-10-17</t>
        </is>
      </c>
      <c r="D31" s="14" t="n">
        <v>5.001</v>
      </c>
      <c r="E31" s="13" t="inlineStr">
        <is>
          <t>1125081450</t>
        </is>
      </c>
      <c r="F31" s="13" t="inlineStr">
        <is>
          <t>GY</t>
        </is>
      </c>
      <c r="G31" s="13" t="inlineStr">
        <is>
          <t>Uncleared</t>
        </is>
      </c>
      <c r="H31" s="13" t="inlineStr">
        <is>
          <t>반송</t>
        </is>
      </c>
      <c r="I31" s="13" t="inlineStr">
        <is>
          <t>RETURN - 반품</t>
        </is>
      </c>
      <c r="J31" s="13" t="inlineStr"/>
      <c r="K31" s="14" t="n">
        <v>5.131026</v>
      </c>
    </row>
    <row r="32">
      <c r="A32" s="11" t="inlineStr">
        <is>
          <t>LITHIUM CARBONATE_sample</t>
        </is>
      </c>
      <c r="B32" s="11" t="inlineStr">
        <is>
          <t>2200033057</t>
        </is>
      </c>
      <c r="C32" s="11" t="inlineStr">
        <is>
          <t>2025-10-17</t>
        </is>
      </c>
      <c r="D32" s="12" t="n">
        <v>0.001</v>
      </c>
      <c r="E32" s="11" t="inlineStr">
        <is>
          <t>1125072730</t>
        </is>
      </c>
      <c r="F32" s="11" t="inlineStr">
        <is>
          <t>GY</t>
        </is>
      </c>
      <c r="G32" s="11" t="inlineStr">
        <is>
          <t>Uncleared</t>
        </is>
      </c>
      <c r="H32" s="11" t="inlineStr">
        <is>
          <t>반송</t>
        </is>
      </c>
      <c r="I32" s="11" t="inlineStr">
        <is>
          <t>RETURN - 반품</t>
        </is>
      </c>
      <c r="J32" s="11" t="inlineStr"/>
      <c r="K32" s="12" t="n">
        <v>0.00125</v>
      </c>
    </row>
    <row r="33">
      <c r="A33" s="11" t="inlineStr">
        <is>
          <t>LITHIUM CARBONATE_sample</t>
        </is>
      </c>
      <c r="B33" s="11" t="inlineStr">
        <is>
          <t>2200033057</t>
        </is>
      </c>
      <c r="C33" s="11" t="inlineStr">
        <is>
          <t>2025-10-17</t>
        </is>
      </c>
      <c r="D33" s="12" t="n">
        <v>0.001</v>
      </c>
      <c r="E33" s="11" t="inlineStr">
        <is>
          <t>1125081215</t>
        </is>
      </c>
      <c r="F33" s="11" t="inlineStr">
        <is>
          <t>GY</t>
        </is>
      </c>
      <c r="G33" s="11" t="inlineStr">
        <is>
          <t>Uncleared</t>
        </is>
      </c>
      <c r="H33" s="11" t="inlineStr">
        <is>
          <t>반송</t>
        </is>
      </c>
      <c r="I33" s="11" t="inlineStr">
        <is>
          <t>RETURN - 반품</t>
        </is>
      </c>
      <c r="J33" s="11" t="inlineStr"/>
      <c r="K33" s="12" t="n">
        <v>0.00125</v>
      </c>
    </row>
    <row r="34">
      <c r="A34" s="11" t="inlineStr">
        <is>
          <t>LITHIUM CARBONATE_sample</t>
        </is>
      </c>
      <c r="B34" s="11" t="inlineStr">
        <is>
          <t>2200033057</t>
        </is>
      </c>
      <c r="C34" s="11" t="inlineStr">
        <is>
          <t>2025-10-17</t>
        </is>
      </c>
      <c r="D34" s="12" t="n">
        <v>0.001</v>
      </c>
      <c r="E34" s="11" t="inlineStr">
        <is>
          <t>1125081347</t>
        </is>
      </c>
      <c r="F34" s="11" t="inlineStr">
        <is>
          <t>GY</t>
        </is>
      </c>
      <c r="G34" s="11" t="inlineStr">
        <is>
          <t>Uncleared</t>
        </is>
      </c>
      <c r="H34" s="11" t="inlineStr">
        <is>
          <t>반송</t>
        </is>
      </c>
      <c r="I34" s="11" t="inlineStr">
        <is>
          <t>RETURN - 반품</t>
        </is>
      </c>
      <c r="J34" s="11" t="inlineStr"/>
      <c r="K34" s="12" t="n">
        <v>0.00125</v>
      </c>
    </row>
    <row r="35">
      <c r="A35" s="11" t="inlineStr">
        <is>
          <t>LITHIUM CARBONATE_sample</t>
        </is>
      </c>
      <c r="B35" s="11" t="inlineStr">
        <is>
          <t>2200033057</t>
        </is>
      </c>
      <c r="C35" s="11" t="inlineStr">
        <is>
          <t>2025-10-17</t>
        </is>
      </c>
      <c r="D35" s="12" t="n">
        <v>0.001</v>
      </c>
      <c r="E35" s="11" t="inlineStr">
        <is>
          <t>1125081450</t>
        </is>
      </c>
      <c r="F35" s="11" t="inlineStr">
        <is>
          <t>GY</t>
        </is>
      </c>
      <c r="G35" s="11" t="inlineStr">
        <is>
          <t>Uncleared</t>
        </is>
      </c>
      <c r="H35" s="11" t="inlineStr">
        <is>
          <t>반송</t>
        </is>
      </c>
      <c r="I35" s="11" t="inlineStr">
        <is>
          <t>RETURN - 반품</t>
        </is>
      </c>
      <c r="J35" s="11" t="inlineStr"/>
      <c r="K35" s="12" t="n">
        <v>0.00125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5" t="inlineStr">
        <is>
          <t>재고 유지 LOT (미출고)</t>
        </is>
      </c>
    </row>
    <row r="3">
      <c r="A3" s="4" t="inlineStr">
        <is>
          <t>No.</t>
        </is>
      </c>
      <c r="B3" s="4" t="inlineStr">
        <is>
          <t>Product</t>
        </is>
      </c>
      <c r="C3" s="4" t="inlineStr">
        <is>
          <t>SAP NO</t>
        </is>
      </c>
      <c r="D3" s="4" t="inlineStr">
        <is>
          <t>Lot No</t>
        </is>
      </c>
      <c r="E3" s="4" t="inlineStr">
        <is>
          <t>QTY(MT)</t>
        </is>
      </c>
      <c r="F3" s="4" t="inlineStr">
        <is>
          <t>WH</t>
        </is>
      </c>
      <c r="G3" s="4" t="inlineStr">
        <is>
          <t>STATUS</t>
        </is>
      </c>
    </row>
    <row r="4">
      <c r="A4" s="16" t="n">
        <v>1</v>
      </c>
      <c r="B4" s="16" t="inlineStr">
        <is>
          <t>LITHIUM CARBONATE</t>
        </is>
      </c>
      <c r="C4" s="16" t="inlineStr">
        <is>
          <t>2200033057</t>
        </is>
      </c>
      <c r="D4" s="16" t="inlineStr">
        <is>
          <t>1125072729</t>
        </is>
      </c>
      <c r="E4" s="17" t="n">
        <v>5.001</v>
      </c>
      <c r="F4" s="16" t="inlineStr">
        <is>
          <t>GY</t>
        </is>
      </c>
      <c r="G4" s="16" t="inlineStr">
        <is>
          <t>AVAILABLE</t>
        </is>
      </c>
    </row>
    <row r="5">
      <c r="A5" s="16" t="n">
        <v>2</v>
      </c>
      <c r="B5" s="16" t="inlineStr">
        <is>
          <t>LITHIUM CARBONATE</t>
        </is>
      </c>
      <c r="C5" s="16" t="inlineStr">
        <is>
          <t>2200033057</t>
        </is>
      </c>
      <c r="D5" s="16" t="inlineStr">
        <is>
          <t>1125081222</t>
        </is>
      </c>
      <c r="E5" s="17" t="n">
        <v>5.001</v>
      </c>
      <c r="F5" s="16" t="inlineStr">
        <is>
          <t>GY</t>
        </is>
      </c>
      <c r="G5" s="16" t="inlineStr">
        <is>
          <t>AVAILABLE</t>
        </is>
      </c>
    </row>
    <row r="6">
      <c r="A6" s="16" t="n">
        <v>3</v>
      </c>
      <c r="B6" s="16" t="inlineStr">
        <is>
          <t>LITHIUM CARBONATE</t>
        </is>
      </c>
      <c r="C6" s="16" t="inlineStr">
        <is>
          <t>2200033057</t>
        </is>
      </c>
      <c r="D6" s="16" t="inlineStr">
        <is>
          <t>1125081315</t>
        </is>
      </c>
      <c r="E6" s="17" t="n">
        <v>5.001</v>
      </c>
      <c r="F6" s="16" t="inlineStr">
        <is>
          <t>GY</t>
        </is>
      </c>
      <c r="G6" s="16" t="inlineStr">
        <is>
          <t>AVAILABLE</t>
        </is>
      </c>
    </row>
    <row r="7">
      <c r="A7" s="16" t="n">
        <v>4</v>
      </c>
      <c r="B7" s="16" t="inlineStr">
        <is>
          <t>LITHIUM CARBONATE</t>
        </is>
      </c>
      <c r="C7" s="16" t="inlineStr">
        <is>
          <t>2200033057</t>
        </is>
      </c>
      <c r="D7" s="16" t="inlineStr">
        <is>
          <t>1125081318</t>
        </is>
      </c>
      <c r="E7" s="17" t="n">
        <v>5.001</v>
      </c>
      <c r="F7" s="16" t="inlineStr">
        <is>
          <t>GY</t>
        </is>
      </c>
      <c r="G7" s="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2026-02-11T00:31:42Z</dcterms:created>
  <dcterms:modified xmlns:dcterms="http://purl.org/dc/terms/" xmlns:xsi="http://www.w3.org/2001/XMLSchema-instance" xsi:type="dcterms:W3CDTF">2026-02-11T00:31:42Z</dcterms:modified>
</cp:coreProperties>
</file>