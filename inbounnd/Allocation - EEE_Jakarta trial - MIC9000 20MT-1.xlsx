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inbounnd\"/>
    </mc:Choice>
  </mc:AlternateContent>
  <xr:revisionPtr revIDLastSave="0" documentId="8_{061F034F-9CD3-440E-BB6B-BA83529D75CA}" xr6:coauthVersionLast="47" xr6:coauthVersionMax="47" xr10:uidLastSave="{00000000-0000-0000-0000-000000000000}"/>
  <bookViews>
    <workbookView xWindow="28680" yWindow="-120" windowWidth="29040" windowHeight="15720" xr2:uid="{293AD31E-430D-4D66-B30F-C6066A37C950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</calcChain>
</file>

<file path=xl/sharedStrings.xml><?xml version="1.0" encoding="utf-8"?>
<sst xmlns="http://schemas.openxmlformats.org/spreadsheetml/2006/main" count="51" uniqueCount="19">
  <si>
    <t>Product</t>
  </si>
  <si>
    <t>SAP NO</t>
  </si>
  <si>
    <t>QTY (MT)</t>
  </si>
  <si>
    <t>Lot No</t>
  </si>
  <si>
    <t>WH</t>
  </si>
  <si>
    <t>SOLD TO</t>
  </si>
  <si>
    <t>Balance</t>
  </si>
  <si>
    <t>GW</t>
  </si>
  <si>
    <t>MIC9000</t>
  </si>
  <si>
    <t>GY</t>
  </si>
  <si>
    <t>Indonesia Trial - Jakarta</t>
  </si>
  <si>
    <t>MIC9000 Sample</t>
  </si>
  <si>
    <t>*Allocation - Jakarta trial 20MT</t>
  </si>
  <si>
    <t xml:space="preserve">Cleared </t>
  </si>
  <si>
    <t>Uncleaared</t>
  </si>
  <si>
    <t>행 레이블</t>
  </si>
  <si>
    <t>총합계</t>
  </si>
  <si>
    <t>합계 : GW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</si>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</sst>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6" fontId="4" fillId="0" borderId="9" xfId="0" applyNumberFormat="1" applyFont="1" applyBorder="1" applyAlignment="1">
      <alignment horizontal="center" vertical="center"/>
    </xf>
  </cellXfs>
  <cellStyles count="1">
    <cellStyle name="표준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C1F0C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94.670836805555" createdVersion="8" refreshedVersion="8" minRefreshableVersion="3" recordCount="8" xr:uid="{AAFFF3B7-1DFC-401A-860E-1221B46DB7EF}">
  <cacheSource type="worksheet">
    <worksheetSource name="표1"/>
  </cacheSource>
  <cacheFields count="9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3062" maxValue="2200033062" count="1">
        <n v="2200033062"/>
      </sharedItems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82734" maxValue="1125082737"/>
    </cacheField>
    <cacheField name="WH" numFmtId="0">
      <sharedItems count="1">
        <s v="GY"/>
      </sharedItems>
    </cacheField>
    <cacheField name="SOLD TO" numFmtId="0">
      <sharedItems/>
    </cacheField>
    <cacheField name="Cleared " numFmtId="0">
      <sharedItems count="1">
        <s v="Uncleaared"/>
      </sharedItems>
    </cacheField>
    <cacheField name="Balance" numFmtId="0">
      <sharedItems containsSemiMixedTypes="0" containsString="0" containsNumber="1" minValue="1E-3" maxValue="5"/>
    </cacheField>
    <cacheField name="GW" numFmtId="0">
      <sharedItems containsSemiMixedTypes="0" containsString="0" containsNumber="1" minValue="1.25E-3" maxValue="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5"/>
    <n v="1125082734"/>
    <x v="0"/>
    <s v="Indonesia Trial - Jakarta"/>
    <x v="0"/>
    <n v="5"/>
    <n v="5.13"/>
  </r>
  <r>
    <x v="1"/>
    <x v="0"/>
    <n v="1E-3"/>
    <n v="1125082734"/>
    <x v="0"/>
    <s v="Indonesia Trial - Jakarta"/>
    <x v="0"/>
    <n v="1E-3"/>
    <n v="1.25E-3"/>
  </r>
  <r>
    <x v="0"/>
    <x v="0"/>
    <n v="5"/>
    <n v="1125082735"/>
    <x v="0"/>
    <s v="Indonesia Trial - Jakarta"/>
    <x v="0"/>
    <n v="5"/>
    <n v="5.13"/>
  </r>
  <r>
    <x v="1"/>
    <x v="0"/>
    <n v="1E-3"/>
    <n v="1125082735"/>
    <x v="0"/>
    <s v="Indonesia Trial - Jakarta"/>
    <x v="0"/>
    <n v="1E-3"/>
    <n v="1.25E-3"/>
  </r>
  <r>
    <x v="0"/>
    <x v="0"/>
    <n v="5"/>
    <n v="1125082736"/>
    <x v="0"/>
    <s v="Indonesia Trial - Jakarta"/>
    <x v="0"/>
    <n v="5"/>
    <n v="5.13"/>
  </r>
  <r>
    <x v="1"/>
    <x v="0"/>
    <n v="1E-3"/>
    <n v="1125082736"/>
    <x v="0"/>
    <s v="Indonesia Trial - Jakarta"/>
    <x v="0"/>
    <n v="1E-3"/>
    <n v="1.25E-3"/>
  </r>
  <r>
    <x v="0"/>
    <x v="0"/>
    <n v="5"/>
    <n v="1125082737"/>
    <x v="0"/>
    <s v="Indonesia Trial - Jakarta"/>
    <x v="0"/>
    <n v="5"/>
    <n v="5.13"/>
  </r>
  <r>
    <x v="1"/>
    <x v="0"/>
    <n v="1E-3"/>
    <n v="1125082737"/>
    <x v="0"/>
    <s v="Indonesia Trial - Jakarta"/>
    <x v="0"/>
    <n v="1E-3"/>
    <n v="1.2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FF63D-92C4-448D-82D0-972BD93EE443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K2:M7" firstHeaderRow="1" firstDataRow="2" firstDataCol="1"/>
  <pivotFields count="9"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dataField="1" showAll="0"/>
  </pivotFields>
  <rowFields count="2">
    <field x="6"/>
    <field x="0"/>
  </rowFields>
  <rowItems count="4">
    <i>
      <x/>
    </i>
    <i r="1">
      <x/>
    </i>
    <i r="1">
      <x v="1"/>
    </i>
    <i t="grand">
      <x/>
    </i>
  </rowItems>
  <colFields count="1">
    <field x="4"/>
  </colFields>
  <colItems count="2">
    <i>
      <x/>
    </i>
    <i t="grand">
      <x/>
    </i>
  </colItems>
  <dataFields count="1">
    <dataField name="합계 : GW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15D88-34F8-4AD9-8556-63E15CD696DB}" name="표1" displayName="표1" ref="A3:I12" totalsRowCount="1" headerRowDxfId="22" dataDxfId="20" headerRowBorderDxfId="21" tableBorderDxfId="19" totalsRowBorderDxfId="18">
  <autoFilter ref="A3:I11" xr:uid="{1AB15D88-34F8-4AD9-8556-63E15CD696DB}"/>
  <tableColumns count="9">
    <tableColumn id="1" xr3:uid="{58B78866-FCD7-481F-B06B-1B25D4ED837C}" name="Product" dataDxfId="17" totalsRowDxfId="16"/>
    <tableColumn id="2" xr3:uid="{CEE7C09D-83BE-48F6-A79D-FD878C856995}" name="SAP NO" dataDxfId="15" totalsRowDxfId="14"/>
    <tableColumn id="3" xr3:uid="{A69DB82B-575C-4B51-9A44-9D7204BF77BC}" name="QTY (MT)" dataDxfId="13" totalsRowDxfId="12"/>
    <tableColumn id="4" xr3:uid="{DA8687CF-217C-435C-93C8-E6FDEE7CD37F}" name="Lot No" dataDxfId="11" totalsRowDxfId="10"/>
    <tableColumn id="5" xr3:uid="{F0A95DB4-33C1-47E0-B69B-2DCC9CD820CF}" name="WH" dataDxfId="9" totalsRowDxfId="8"/>
    <tableColumn id="6" xr3:uid="{8DD76154-8D63-4EDF-8E5D-1DE8B58E3575}" name="SOLD TO" dataDxfId="7" totalsRowDxfId="6"/>
    <tableColumn id="7" xr3:uid="{D1F82E64-F489-4810-8FF7-B78B669DEF9F}" name="Cleared " dataDxfId="5" totalsRowDxfId="4"/>
    <tableColumn id="8" xr3:uid="{56A1F33F-FFEA-4190-A865-51EA11077250}" name="Balance" totalsRowFunction="sum" dataDxfId="3" totalsRowDxfId="2"/>
    <tableColumn id="9" xr3:uid="{AD5A515D-80D8-4A05-8B6D-E746500BE5ED}" name="GW" totalsRowFunction="sum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9E73-BB69-44DD-A321-20A61A6278A7}">
  <dimension ref="A1:M12"/>
  <sheetViews>
    <sheetView tabSelected="1" workbookViewId="0">
      <selection activeCell="I18" sqref="I18"/>
    </sheetView>
  </sheetViews>
  <sheetFormatPr defaultRowHeight="16.5" x14ac:dyDescent="0.3"/>
  <cols>
    <col min="1" max="1" width="15.125" bestFit="1" customWidth="1"/>
    <col min="2" max="2" width="27.5" bestFit="1" customWidth="1"/>
    <col min="3" max="3" width="11" customWidth="1"/>
    <col min="4" max="4" width="11" bestFit="1" customWidth="1"/>
    <col min="6" max="6" width="21.5" bestFit="1" customWidth="1"/>
    <col min="7" max="7" width="21.5" customWidth="1"/>
    <col min="8" max="8" width="9.5" customWidth="1"/>
    <col min="11" max="11" width="18.125" bestFit="1" customWidth="1"/>
    <col min="12" max="12" width="11.875" bestFit="1" customWidth="1"/>
    <col min="13" max="13" width="7.25" bestFit="1" customWidth="1"/>
  </cols>
  <sheetData>
    <row r="1" spans="1:13" x14ac:dyDescent="0.3">
      <c r="A1" s="1" t="s">
        <v>12</v>
      </c>
    </row>
    <row r="2" spans="1:13" x14ac:dyDescent="0.3">
      <c r="K2" s="18" t="s">
        <v>17</v>
      </c>
      <c r="L2" s="18" t="s">
        <v>18</v>
      </c>
    </row>
    <row r="3" spans="1:13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13</v>
      </c>
      <c r="H3" s="4" t="s">
        <v>6</v>
      </c>
      <c r="I3" s="5" t="s">
        <v>7</v>
      </c>
      <c r="K3" s="18" t="s">
        <v>15</v>
      </c>
      <c r="L3" t="s">
        <v>9</v>
      </c>
      <c r="M3" t="s">
        <v>16</v>
      </c>
    </row>
    <row r="4" spans="1:13" x14ac:dyDescent="0.3">
      <c r="A4" s="6" t="s">
        <v>8</v>
      </c>
      <c r="B4" s="7">
        <v>2200033062</v>
      </c>
      <c r="C4" s="8">
        <v>5</v>
      </c>
      <c r="D4" s="7">
        <v>1125082734</v>
      </c>
      <c r="E4" s="9" t="s">
        <v>9</v>
      </c>
      <c r="F4" s="10" t="s">
        <v>10</v>
      </c>
      <c r="G4" s="10" t="s">
        <v>14</v>
      </c>
      <c r="H4" s="9">
        <v>5</v>
      </c>
      <c r="I4" s="11">
        <v>5.13</v>
      </c>
      <c r="K4" s="19" t="s">
        <v>14</v>
      </c>
      <c r="L4">
        <v>20.524999999999999</v>
      </c>
      <c r="M4">
        <v>20.524999999999999</v>
      </c>
    </row>
    <row r="5" spans="1:13" x14ac:dyDescent="0.3">
      <c r="A5" s="6" t="s">
        <v>11</v>
      </c>
      <c r="B5" s="7">
        <v>2200033062</v>
      </c>
      <c r="C5" s="8">
        <v>1E-3</v>
      </c>
      <c r="D5" s="7">
        <v>1125082734</v>
      </c>
      <c r="E5" s="9" t="s">
        <v>9</v>
      </c>
      <c r="F5" s="10" t="s">
        <v>10</v>
      </c>
      <c r="G5" s="10" t="s">
        <v>14</v>
      </c>
      <c r="H5" s="9">
        <v>1E-3</v>
      </c>
      <c r="I5" s="11">
        <v>1.25E-3</v>
      </c>
      <c r="K5" s="20" t="s">
        <v>8</v>
      </c>
      <c r="L5">
        <v>20.52</v>
      </c>
      <c r="M5">
        <v>20.52</v>
      </c>
    </row>
    <row r="6" spans="1:13" x14ac:dyDescent="0.3">
      <c r="A6" s="6" t="s">
        <v>8</v>
      </c>
      <c r="B6" s="7">
        <v>2200033062</v>
      </c>
      <c r="C6" s="8">
        <v>5</v>
      </c>
      <c r="D6" s="7">
        <v>1125082735</v>
      </c>
      <c r="E6" s="9" t="s">
        <v>9</v>
      </c>
      <c r="F6" s="10" t="s">
        <v>10</v>
      </c>
      <c r="G6" s="10" t="s">
        <v>14</v>
      </c>
      <c r="H6" s="9">
        <v>5</v>
      </c>
      <c r="I6" s="11">
        <v>5.13</v>
      </c>
      <c r="K6" s="20" t="s">
        <v>11</v>
      </c>
      <c r="L6">
        <v>5.0000000000000001E-3</v>
      </c>
      <c r="M6">
        <v>5.0000000000000001E-3</v>
      </c>
    </row>
    <row r="7" spans="1:13" x14ac:dyDescent="0.3">
      <c r="A7" s="6" t="s">
        <v>11</v>
      </c>
      <c r="B7" s="7">
        <v>2200033062</v>
      </c>
      <c r="C7" s="8">
        <v>1E-3</v>
      </c>
      <c r="D7" s="7">
        <v>1125082735</v>
      </c>
      <c r="E7" s="9" t="s">
        <v>9</v>
      </c>
      <c r="F7" s="10" t="s">
        <v>10</v>
      </c>
      <c r="G7" s="10" t="s">
        <v>14</v>
      </c>
      <c r="H7" s="9">
        <v>1E-3</v>
      </c>
      <c r="I7" s="11">
        <v>1.25E-3</v>
      </c>
      <c r="K7" s="19" t="s">
        <v>16</v>
      </c>
      <c r="L7">
        <v>20.524999999999999</v>
      </c>
      <c r="M7">
        <v>20.524999999999999</v>
      </c>
    </row>
    <row r="8" spans="1:13" x14ac:dyDescent="0.3">
      <c r="A8" s="6" t="s">
        <v>8</v>
      </c>
      <c r="B8" s="7">
        <v>2200033062</v>
      </c>
      <c r="C8" s="8">
        <v>5</v>
      </c>
      <c r="D8" s="7">
        <v>1125082736</v>
      </c>
      <c r="E8" s="9" t="s">
        <v>9</v>
      </c>
      <c r="F8" s="10" t="s">
        <v>10</v>
      </c>
      <c r="G8" s="10" t="s">
        <v>14</v>
      </c>
      <c r="H8" s="9">
        <v>5</v>
      </c>
      <c r="I8" s="11">
        <v>5.13</v>
      </c>
    </row>
    <row r="9" spans="1:13" x14ac:dyDescent="0.3">
      <c r="A9" s="6" t="s">
        <v>11</v>
      </c>
      <c r="B9" s="7">
        <v>2200033062</v>
      </c>
      <c r="C9" s="8">
        <v>1E-3</v>
      </c>
      <c r="D9" s="7">
        <v>1125082736</v>
      </c>
      <c r="E9" s="9" t="s">
        <v>9</v>
      </c>
      <c r="F9" s="10" t="s">
        <v>10</v>
      </c>
      <c r="G9" s="10" t="s">
        <v>14</v>
      </c>
      <c r="H9" s="9">
        <v>1E-3</v>
      </c>
      <c r="I9" s="11">
        <v>1.25E-3</v>
      </c>
    </row>
    <row r="10" spans="1:13" x14ac:dyDescent="0.3">
      <c r="A10" s="6" t="s">
        <v>8</v>
      </c>
      <c r="B10" s="7">
        <v>2200033062</v>
      </c>
      <c r="C10" s="8">
        <v>5</v>
      </c>
      <c r="D10" s="7">
        <v>1125082737</v>
      </c>
      <c r="E10" s="9" t="s">
        <v>9</v>
      </c>
      <c r="F10" s="10" t="s">
        <v>10</v>
      </c>
      <c r="G10" s="10" t="s">
        <v>14</v>
      </c>
      <c r="H10" s="9">
        <v>5</v>
      </c>
      <c r="I10" s="11">
        <v>5.13</v>
      </c>
    </row>
    <row r="11" spans="1:13" x14ac:dyDescent="0.3">
      <c r="A11" s="12" t="s">
        <v>11</v>
      </c>
      <c r="B11" s="13">
        <v>2200033062</v>
      </c>
      <c r="C11" s="14">
        <v>1E-3</v>
      </c>
      <c r="D11" s="13">
        <v>1125082737</v>
      </c>
      <c r="E11" s="15" t="s">
        <v>9</v>
      </c>
      <c r="F11" s="16" t="s">
        <v>10</v>
      </c>
      <c r="G11" s="16" t="s">
        <v>14</v>
      </c>
      <c r="H11" s="15">
        <v>1E-3</v>
      </c>
      <c r="I11" s="17">
        <v>1.25E-3</v>
      </c>
    </row>
    <row r="12" spans="1:13" x14ac:dyDescent="0.3">
      <c r="A12" s="12"/>
      <c r="B12" s="13"/>
      <c r="C12" s="14"/>
      <c r="D12" s="13"/>
      <c r="E12" s="15"/>
      <c r="F12" s="16"/>
      <c r="G12" s="16"/>
      <c r="H12" s="15">
        <f>SUBTOTAL(109,표1[Balance])</f>
        <v>20.004000000000001</v>
      </c>
      <c r="I12" s="21">
        <f>SUBTOTAL(109,표1[GW])</f>
        <v>20.525000000000002</v>
      </c>
    </row>
  </sheetData>
  <phoneticPr fontId="5" type="noConversion"/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59376C725645A1C66D0A1903C987" ma:contentTypeVersion="15" ma:contentTypeDescription="Crear nuevo documento." ma:contentTypeScope="" ma:versionID="585b40e649eb6eb39aa59762e10121c3">
  <xsd:schema xmlns:xsd="http://www.w3.org/2001/XMLSchema" xmlns:xs="http://www.w3.org/2001/XMLSchema" xmlns:p="http://schemas.microsoft.com/office/2006/metadata/properties" xmlns:ns2="3f7e6429-fd3a-446f-90e5-dea13fe4df8c" xmlns:ns3="7ff9a2f9-97fc-4adc-801e-ce3a5d3761d8" targetNamespace="http://schemas.microsoft.com/office/2006/metadata/properties" ma:root="true" ma:fieldsID="f45f5d0fd78445009749c3cea74a5df9" ns2:_="" ns3:_="">
    <xsd:import namespace="3f7e6429-fd3a-446f-90e5-dea13fe4df8c"/>
    <xsd:import namespace="7ff9a2f9-97fc-4adc-801e-ce3a5d376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e6429-fd3a-446f-90e5-dea13fe4df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e526d5b-f78f-4174-bd28-0933e3c668f8}" ma:internalName="TaxCatchAll" ma:showField="CatchAllData" ma:web="3f7e6429-fd3a-446f-90e5-dea13fe4d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a2f9-97fc-4adc-801e-ce3a5d376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04b013-8677-4011-8dbd-5e3d6efc8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e6429-fd3a-446f-90e5-dea13fe4df8c" xsi:nil="true"/>
    <lcf76f155ced4ddcb4097134ff3c332f xmlns="7ff9a2f9-97fc-4adc-801e-ce3a5d3761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69DB3-47CB-47B5-8DA9-34C39379C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e6429-fd3a-446f-90e5-dea13fe4df8c"/>
    <ds:schemaRef ds:uri="7ff9a2f9-97fc-4adc-801e-ce3a5d376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E287B2-9D30-48AC-ACA0-515B9BAB2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5D9EA-2E03-471D-B547-8528B1F2F7CB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ff9a2f9-97fc-4adc-801e-ce3a5d3761d8"/>
    <ds:schemaRef ds:uri="http://schemas.microsoft.com/office/infopath/2007/PartnerControls"/>
    <ds:schemaRef ds:uri="http://schemas.microsoft.com/office/2006/metadata/properties"/>
    <ds:schemaRef ds:uri="3f7e6429-fd3a-446f-90e5-dea13fe4df8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Chae Woo</dc:creator>
  <cp:lastModifiedBy>Kidong Nam</cp:lastModifiedBy>
  <dcterms:created xsi:type="dcterms:W3CDTF">2026-03-13T07:03:40Z</dcterms:created>
  <dcterms:modified xsi:type="dcterms:W3CDTF">2026-03-31T08:20:16Z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0x010100606659376C725645A1C66D0A1903C987</vt:lpwstr>
  </property>
  <property fmtid="{D5CDD505-2E9C-101B-9397-08002B2CF9AE}" pid="3" name="MediaServiceImageTags">
    <vt:lpwstr/>
  </property>
</Properties>
</file>